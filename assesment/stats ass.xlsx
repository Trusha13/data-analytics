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OneDrive\Documents\"/>
    </mc:Choice>
  </mc:AlternateContent>
  <bookViews>
    <workbookView minimized="1" xWindow="0" yWindow="0" windowWidth="20490" windowHeight="7620"/>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5" i="1" l="1"/>
  <c r="O24" i="1"/>
  <c r="O35" i="1"/>
  <c r="O34" i="1"/>
  <c r="O33" i="1"/>
  <c r="O32" i="1"/>
  <c r="O31" i="1"/>
  <c r="O30" i="1"/>
  <c r="O29" i="1" l="1"/>
  <c r="O28" i="1"/>
  <c r="O27" i="1"/>
  <c r="O26" i="1"/>
  <c r="O23" i="1"/>
  <c r="O22" i="1"/>
  <c r="O21" i="1"/>
  <c r="O20" i="1"/>
  <c r="O19" i="1"/>
  <c r="E25" i="1"/>
  <c r="E24" i="1"/>
  <c r="E23" i="1"/>
  <c r="E22" i="1"/>
  <c r="E21" i="1"/>
</calcChain>
</file>

<file path=xl/sharedStrings.xml><?xml version="1.0" encoding="utf-8"?>
<sst xmlns="http://schemas.openxmlformats.org/spreadsheetml/2006/main" count="38" uniqueCount="35">
  <si>
    <t>step</t>
  </si>
  <si>
    <t>Result</t>
  </si>
  <si>
    <t>calculation</t>
  </si>
  <si>
    <t>mean girls</t>
  </si>
  <si>
    <t>SD girls</t>
  </si>
  <si>
    <t>N girls</t>
  </si>
  <si>
    <t>Mean boys</t>
  </si>
  <si>
    <t>SD boys</t>
  </si>
  <si>
    <t>N boys</t>
  </si>
  <si>
    <t>Standard ERROR</t>
  </si>
  <si>
    <t>T-statistics</t>
  </si>
  <si>
    <t>Degree of freedom</t>
  </si>
  <si>
    <t>critical t- value</t>
  </si>
  <si>
    <t>Decision</t>
  </si>
  <si>
    <t>Category</t>
  </si>
  <si>
    <t>smokers with cancer</t>
  </si>
  <si>
    <t>smokers without Cancer</t>
  </si>
  <si>
    <t>non-smokers with cancer</t>
  </si>
  <si>
    <t>non-smoker without cancer</t>
  </si>
  <si>
    <t>Total smokers</t>
  </si>
  <si>
    <t>Total Non- smoker</t>
  </si>
  <si>
    <t>Total Cancer</t>
  </si>
  <si>
    <t>Total non- cancer</t>
  </si>
  <si>
    <t>Grand Total</t>
  </si>
  <si>
    <t>Expected Smokers with Cancer</t>
  </si>
  <si>
    <t>Expected Smokers without Cancer</t>
  </si>
  <si>
    <t>Expected Non-Smokers with Cancer</t>
  </si>
  <si>
    <t>Expected Non-Smokers without Cancer</t>
  </si>
  <si>
    <t>Chi-Square Component 1</t>
  </si>
  <si>
    <t>Chi-Square Component 2</t>
  </si>
  <si>
    <t>Chi-Square Component 3</t>
  </si>
  <si>
    <t>Chi-Square Component 4</t>
  </si>
  <si>
    <t>Chi-Square Statistic</t>
  </si>
  <si>
    <t>Degrees of Freedom</t>
  </si>
  <si>
    <t>Critical Chi-Square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</si>
</sst>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6</xdr:col>
      <xdr:colOff>247650</xdr:colOff>
      <xdr:row>0</xdr:row>
      <xdr:rowOff>171451</xdr:rowOff>
    </xdr:from>
    <xdr:to>
      <xdr:col>9</xdr:col>
      <xdr:colOff>381000</xdr:colOff>
      <xdr:row>2</xdr:row>
      <xdr:rowOff>152401</xdr:rowOff>
    </xdr:to>
    <xdr:sp macro="" textlink="">
      <xdr:nvSpPr>
        <xdr:cNvPr id="2" name="TextBox 1"/>
        <xdr:cNvSpPr txBox="1"/>
      </xdr:nvSpPr>
      <xdr:spPr>
        <a:xfrm>
          <a:off x="3905250" y="171451"/>
          <a:ext cx="1962150" cy="361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ASSESSMENT STATISTICS</a:t>
          </a:r>
        </a:p>
      </xdr:txBody>
    </xdr:sp>
    <xdr:clientData/>
  </xdr:twoCellAnchor>
  <xdr:twoCellAnchor>
    <xdr:from>
      <xdr:col>1</xdr:col>
      <xdr:colOff>114300</xdr:colOff>
      <xdr:row>5</xdr:row>
      <xdr:rowOff>95250</xdr:rowOff>
    </xdr:from>
    <xdr:to>
      <xdr:col>7</xdr:col>
      <xdr:colOff>219075</xdr:colOff>
      <xdr:row>11</xdr:row>
      <xdr:rowOff>171450</xdr:rowOff>
    </xdr:to>
    <xdr:sp macro="" textlink="">
      <xdr:nvSpPr>
        <xdr:cNvPr id="3" name="TextBox 2"/>
        <xdr:cNvSpPr txBox="1"/>
      </xdr:nvSpPr>
      <xdr:spPr>
        <a:xfrm>
          <a:off x="723900" y="1047750"/>
          <a:ext cx="3762375" cy="1219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Question 1. There is an assumption that there is no significant difference between boys and girls with respect to intelligence. Tests are conducted on two groups and the following are the observations Mean Standard Deviation Size Girls 89 4 50 Boys 82 9 120 Validate the claim with 5% LoS (Level of Significance). </a:t>
          </a:r>
          <a:endParaRPr lang="en-IN" sz="1100"/>
        </a:p>
      </xdr:txBody>
    </xdr:sp>
    <xdr:clientData/>
  </xdr:twoCellAnchor>
  <xdr:twoCellAnchor>
    <xdr:from>
      <xdr:col>1</xdr:col>
      <xdr:colOff>9525</xdr:colOff>
      <xdr:row>12</xdr:row>
      <xdr:rowOff>180975</xdr:rowOff>
    </xdr:from>
    <xdr:to>
      <xdr:col>1</xdr:col>
      <xdr:colOff>457200</xdr:colOff>
      <xdr:row>14</xdr:row>
      <xdr:rowOff>19050</xdr:rowOff>
    </xdr:to>
    <xdr:sp macro="" textlink="">
      <xdr:nvSpPr>
        <xdr:cNvPr id="4" name="TextBox 3"/>
        <xdr:cNvSpPr txBox="1"/>
      </xdr:nvSpPr>
      <xdr:spPr>
        <a:xfrm>
          <a:off x="619125" y="2466975"/>
          <a:ext cx="447675" cy="219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ANS:</a:t>
          </a:r>
        </a:p>
        <a:p>
          <a:endParaRPr lang="en-IN" sz="1100"/>
        </a:p>
      </xdr:txBody>
    </xdr:sp>
    <xdr:clientData/>
  </xdr:twoCellAnchor>
  <xdr:twoCellAnchor>
    <xdr:from>
      <xdr:col>11</xdr:col>
      <xdr:colOff>485776</xdr:colOff>
      <xdr:row>5</xdr:row>
      <xdr:rowOff>114300</xdr:rowOff>
    </xdr:from>
    <xdr:to>
      <xdr:col>15</xdr:col>
      <xdr:colOff>419100</xdr:colOff>
      <xdr:row>10</xdr:row>
      <xdr:rowOff>85725</xdr:rowOff>
    </xdr:to>
    <xdr:sp macro="" textlink="">
      <xdr:nvSpPr>
        <xdr:cNvPr id="5" name="TextBox 4"/>
        <xdr:cNvSpPr txBox="1"/>
      </xdr:nvSpPr>
      <xdr:spPr>
        <a:xfrm>
          <a:off x="7324726" y="1066800"/>
          <a:ext cx="3876674" cy="923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Question 2. Analyze the below data and tell whether you can conclude that smoking causes cancer or not? Category Diagnosed as Cancer Without Cancer Total Smokers 220 230 550 Non-Smokers 350 640 990 Total 680 910 1590 </a:t>
          </a:r>
          <a:endParaRPr lang="en-IN" sz="1100"/>
        </a:p>
      </xdr:txBody>
    </xdr:sp>
    <xdr:clientData/>
  </xdr:twoCellAnchor>
  <xdr:twoCellAnchor>
    <xdr:from>
      <xdr:col>11</xdr:col>
      <xdr:colOff>85726</xdr:colOff>
      <xdr:row>12</xdr:row>
      <xdr:rowOff>152399</xdr:rowOff>
    </xdr:from>
    <xdr:to>
      <xdr:col>11</xdr:col>
      <xdr:colOff>504826</xdr:colOff>
      <xdr:row>13</xdr:row>
      <xdr:rowOff>161924</xdr:rowOff>
    </xdr:to>
    <xdr:sp macro="" textlink="">
      <xdr:nvSpPr>
        <xdr:cNvPr id="6" name="TextBox 5"/>
        <xdr:cNvSpPr txBox="1"/>
      </xdr:nvSpPr>
      <xdr:spPr>
        <a:xfrm>
          <a:off x="7620001" y="2438399"/>
          <a:ext cx="419100" cy="2000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ANS</a:t>
          </a:r>
        </a:p>
        <a:p>
          <a:endParaRPr lang="en-IN"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4:O35"/>
  <sheetViews>
    <sheetView tabSelected="1" topLeftCell="A15" workbookViewId="0">
      <selection activeCell="O26" sqref="O26"/>
    </sheetView>
  </sheetViews>
  <sheetFormatPr defaultRowHeight="15" x14ac:dyDescent="0.25"/>
  <cols>
    <col min="4" max="4" width="21.5703125" customWidth="1"/>
    <col min="9" max="9" width="5.5703125" customWidth="1"/>
    <col min="10" max="10" width="5" customWidth="1"/>
    <col min="11" max="11" width="6.42578125" customWidth="1"/>
    <col min="14" max="14" width="36.5703125" customWidth="1"/>
  </cols>
  <sheetData>
    <row r="14" spans="3:15" x14ac:dyDescent="0.25">
      <c r="C14" t="s">
        <v>0</v>
      </c>
      <c r="D14" t="s">
        <v>2</v>
      </c>
      <c r="E14" t="s">
        <v>1</v>
      </c>
      <c r="M14" t="s">
        <v>0</v>
      </c>
      <c r="N14" t="s">
        <v>14</v>
      </c>
      <c r="O14" t="s">
        <v>1</v>
      </c>
    </row>
    <row r="15" spans="3:15" x14ac:dyDescent="0.25">
      <c r="C15">
        <v>1</v>
      </c>
      <c r="D15" t="s">
        <v>3</v>
      </c>
      <c r="E15">
        <v>89</v>
      </c>
      <c r="M15">
        <v>1</v>
      </c>
      <c r="N15" t="s">
        <v>15</v>
      </c>
      <c r="O15">
        <v>220</v>
      </c>
    </row>
    <row r="16" spans="3:15" x14ac:dyDescent="0.25">
      <c r="C16">
        <v>2</v>
      </c>
      <c r="D16" t="s">
        <v>4</v>
      </c>
      <c r="E16">
        <v>4</v>
      </c>
      <c r="M16">
        <v>2</v>
      </c>
      <c r="N16" t="s">
        <v>16</v>
      </c>
      <c r="O16">
        <v>230</v>
      </c>
    </row>
    <row r="17" spans="3:15" x14ac:dyDescent="0.25">
      <c r="C17">
        <v>3</v>
      </c>
      <c r="D17" t="s">
        <v>5</v>
      </c>
      <c r="E17">
        <v>50</v>
      </c>
      <c r="M17">
        <v>3</v>
      </c>
      <c r="N17" t="s">
        <v>17</v>
      </c>
      <c r="O17">
        <v>350</v>
      </c>
    </row>
    <row r="18" spans="3:15" x14ac:dyDescent="0.25">
      <c r="C18">
        <v>4</v>
      </c>
      <c r="D18" t="s">
        <v>6</v>
      </c>
      <c r="E18">
        <v>82</v>
      </c>
      <c r="M18">
        <v>4</v>
      </c>
      <c r="N18" t="s">
        <v>18</v>
      </c>
      <c r="O18">
        <v>640</v>
      </c>
    </row>
    <row r="19" spans="3:15" x14ac:dyDescent="0.25">
      <c r="C19">
        <v>5</v>
      </c>
      <c r="D19" t="s">
        <v>7</v>
      </c>
      <c r="E19">
        <v>9</v>
      </c>
      <c r="M19">
        <v>5</v>
      </c>
      <c r="N19" t="s">
        <v>19</v>
      </c>
      <c r="O19">
        <f>O15+O16</f>
        <v>450</v>
      </c>
    </row>
    <row r="20" spans="3:15" x14ac:dyDescent="0.25">
      <c r="C20">
        <v>6</v>
      </c>
      <c r="D20" t="s">
        <v>8</v>
      </c>
      <c r="E20">
        <v>120</v>
      </c>
      <c r="M20">
        <v>6</v>
      </c>
      <c r="N20" t="s">
        <v>20</v>
      </c>
      <c r="O20">
        <f>O17+O18</f>
        <v>990</v>
      </c>
    </row>
    <row r="21" spans="3:15" x14ac:dyDescent="0.25">
      <c r="C21">
        <v>7</v>
      </c>
      <c r="D21" t="s">
        <v>9</v>
      </c>
      <c r="E21">
        <f>SQRT((E16^2/E17)+(E19^2/E20))</f>
        <v>0.99749686716300023</v>
      </c>
      <c r="M21">
        <v>7</v>
      </c>
      <c r="N21" t="s">
        <v>21</v>
      </c>
      <c r="O21">
        <f>O15+O17</f>
        <v>570</v>
      </c>
    </row>
    <row r="22" spans="3:15" x14ac:dyDescent="0.25">
      <c r="C22">
        <v>8</v>
      </c>
      <c r="D22" t="s">
        <v>10</v>
      </c>
      <c r="E22">
        <f>(E15-E18)/E21</f>
        <v>7.0175658996391963</v>
      </c>
      <c r="M22">
        <v>8</v>
      </c>
      <c r="N22" t="s">
        <v>22</v>
      </c>
      <c r="O22">
        <f>O16+O18</f>
        <v>870</v>
      </c>
    </row>
    <row r="23" spans="3:15" x14ac:dyDescent="0.25">
      <c r="C23">
        <v>9</v>
      </c>
      <c r="D23" t="s">
        <v>11</v>
      </c>
      <c r="E23">
        <f>MIN(E17-1,E20-1)</f>
        <v>49</v>
      </c>
      <c r="M23">
        <v>9</v>
      </c>
      <c r="N23" t="s">
        <v>23</v>
      </c>
      <c r="O23">
        <f>O19+O20</f>
        <v>1440</v>
      </c>
    </row>
    <row r="24" spans="3:15" x14ac:dyDescent="0.25">
      <c r="C24">
        <v>10</v>
      </c>
      <c r="D24" t="s">
        <v>12</v>
      </c>
      <c r="E24">
        <f>_xlfn.T.INV.2T(0.05,E23)</f>
        <v>2.0095752371292388</v>
      </c>
      <c r="M24">
        <v>10</v>
      </c>
      <c r="N24" t="s">
        <v>24</v>
      </c>
      <c r="O24">
        <f>(O19*O21)/O23</f>
        <v>178.125</v>
      </c>
    </row>
    <row r="25" spans="3:15" x14ac:dyDescent="0.25">
      <c r="C25">
        <v>11</v>
      </c>
      <c r="D25" t="s">
        <v>13</v>
      </c>
      <c r="E25" t="str">
        <f>IF(ABS(E22)&gt;E24,"Reject H0","fail to reject H0")</f>
        <v>Reject H0</v>
      </c>
      <c r="M25">
        <v>11</v>
      </c>
      <c r="N25" t="s">
        <v>25</v>
      </c>
      <c r="O25">
        <f>(O19*O22)/O23</f>
        <v>271.875</v>
      </c>
    </row>
    <row r="26" spans="3:15" x14ac:dyDescent="0.25">
      <c r="M26">
        <v>12</v>
      </c>
      <c r="N26" t="s">
        <v>26</v>
      </c>
      <c r="O26">
        <f>(O20*O21)/O23</f>
        <v>391.875</v>
      </c>
    </row>
    <row r="27" spans="3:15" x14ac:dyDescent="0.25">
      <c r="M27">
        <v>13</v>
      </c>
      <c r="N27" t="s">
        <v>27</v>
      </c>
      <c r="O27">
        <f>(O20*O22)/O23</f>
        <v>598.125</v>
      </c>
    </row>
    <row r="28" spans="3:15" x14ac:dyDescent="0.25">
      <c r="M28">
        <v>14</v>
      </c>
      <c r="N28" t="s">
        <v>28</v>
      </c>
      <c r="O28">
        <f>(O15-O24)^2/O24</f>
        <v>9.8442982456140342</v>
      </c>
    </row>
    <row r="29" spans="3:15" x14ac:dyDescent="0.25">
      <c r="M29">
        <v>15</v>
      </c>
      <c r="N29" t="s">
        <v>29</v>
      </c>
      <c r="O29">
        <f>(O16-O25)^2/O25</f>
        <v>6.4497126436781613</v>
      </c>
    </row>
    <row r="30" spans="3:15" x14ac:dyDescent="0.25">
      <c r="M30">
        <v>16</v>
      </c>
      <c r="N30" t="s">
        <v>30</v>
      </c>
      <c r="O30">
        <f>(O17-O26)^2/O26</f>
        <v>4.4746810207336525</v>
      </c>
    </row>
    <row r="31" spans="3:15" x14ac:dyDescent="0.25">
      <c r="M31">
        <v>17</v>
      </c>
      <c r="N31" t="s">
        <v>31</v>
      </c>
      <c r="O31">
        <f>(O18-O27)^2/O27</f>
        <v>2.931687565308255</v>
      </c>
    </row>
    <row r="32" spans="3:15" x14ac:dyDescent="0.25">
      <c r="M32">
        <v>18</v>
      </c>
      <c r="N32" t="s">
        <v>32</v>
      </c>
      <c r="O32">
        <f>SUM(O28:O31)</f>
        <v>23.700379475334103</v>
      </c>
    </row>
    <row r="33" spans="13:15" x14ac:dyDescent="0.25">
      <c r="M33">
        <v>19</v>
      </c>
      <c r="N33" t="s">
        <v>33</v>
      </c>
      <c r="O33">
        <f>(2-1)*(2-1)</f>
        <v>1</v>
      </c>
    </row>
    <row r="34" spans="13:15" x14ac:dyDescent="0.25">
      <c r="M34">
        <v>20</v>
      </c>
      <c r="N34" t="s">
        <v>34</v>
      </c>
      <c r="O34">
        <f>_xlfn.CHISQ.INV.RT(0.05,O33)</f>
        <v>3.8414588206941236</v>
      </c>
    </row>
    <row r="35" spans="13:15" x14ac:dyDescent="0.25">
      <c r="M35">
        <v>21</v>
      </c>
      <c r="N35" t="s">
        <v>13</v>
      </c>
      <c r="O35" t="str">
        <f>IF(O32&gt;O34,"Reject H0","fail to H0")</f>
        <v>Reject H0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2026-03-09T16:52:30Z</dcterms:created>
  <dcterms:modified xsi:type="dcterms:W3CDTF">2026-03-10T14:24:33Z</dcterms:modified>
</cp:coreProperties>
</file>