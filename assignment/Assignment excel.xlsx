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minimized="1" xWindow="0" yWindow="0" windowWidth="16815" windowHeight="7620" firstSheet="2" activeTab="11"/>
  </bookViews>
  <sheets>
    <sheet name="AVG_1" sheetId="1" r:id="rId1"/>
    <sheet name="AVG_3" sheetId="2" r:id="rId2"/>
    <sheet name="COUNT1" sheetId="3" r:id="rId3"/>
    <sheet name="Count2" sheetId="4" r:id="rId4"/>
    <sheet name="Count3" sheetId="5" r:id="rId5"/>
    <sheet name="HLOOKUP" sheetId="6" r:id="rId6"/>
    <sheet name="IF1" sheetId="7" r:id="rId7"/>
    <sheet name="IF2" sheetId="8" r:id="rId8"/>
    <sheet name="IF3" sheetId="9" r:id="rId9"/>
    <sheet name="IF4" sheetId="10" r:id="rId10"/>
    <sheet name="Math 1" sheetId="11" r:id="rId11"/>
    <sheet name="Sheet3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1" l="1"/>
  <c r="P15" i="11"/>
  <c r="P10" i="11"/>
  <c r="P9" i="11"/>
  <c r="P8" i="11"/>
  <c r="P5" i="11"/>
  <c r="P4" i="11"/>
  <c r="P3" i="11"/>
  <c r="P2" i="11"/>
  <c r="E12" i="10"/>
  <c r="E13" i="10"/>
  <c r="E14" i="10"/>
  <c r="E15" i="10"/>
  <c r="E16" i="10"/>
  <c r="E17" i="10"/>
  <c r="E11" i="10"/>
  <c r="F10" i="9"/>
  <c r="F11" i="9"/>
  <c r="F12" i="9"/>
  <c r="F13" i="9"/>
  <c r="F14" i="9"/>
  <c r="F15" i="9"/>
  <c r="F16" i="9"/>
  <c r="F9" i="9"/>
  <c r="E10" i="9"/>
  <c r="E11" i="9"/>
  <c r="E12" i="9"/>
  <c r="E13" i="9"/>
  <c r="E14" i="9"/>
  <c r="E15" i="9"/>
  <c r="E16" i="9"/>
  <c r="E9" i="9"/>
  <c r="D8" i="7"/>
  <c r="D7" i="8"/>
  <c r="D8" i="8" l="1"/>
  <c r="D9" i="8"/>
  <c r="D10" i="8"/>
  <c r="D9" i="7"/>
  <c r="D10" i="7"/>
  <c r="D11" i="7"/>
  <c r="B17" i="6"/>
  <c r="B14" i="6"/>
  <c r="B11" i="6"/>
  <c r="H10" i="5"/>
  <c r="H13" i="5"/>
  <c r="H7" i="5"/>
  <c r="H4" i="5"/>
  <c r="C24" i="4"/>
  <c r="C21" i="4"/>
  <c r="C20" i="3"/>
  <c r="C17" i="3"/>
  <c r="I25" i="2"/>
  <c r="I26" i="2"/>
  <c r="E20" i="2"/>
  <c r="E19" i="2"/>
  <c r="E18" i="2"/>
  <c r="O9" i="1"/>
  <c r="O7" i="1"/>
  <c r="O5" i="1"/>
  <c r="O3" i="1"/>
</calcChain>
</file>

<file path=xl/sharedStrings.xml><?xml version="1.0" encoding="utf-8"?>
<sst xmlns="http://schemas.openxmlformats.org/spreadsheetml/2006/main" count="231" uniqueCount="192">
  <si>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</si>
  <si>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</si>
  <si>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</si>
  <si>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</si>
  <si>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</si>
  <si>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</si>
  <si>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</si>
  <si>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</si>
  <si>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</si>
  <si>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</si>
  <si>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</si>
  <si>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</si>
  <si>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</si>
  <si>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</si>
  <si>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</si>
  <si>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</si>
  <si>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 xml:space="preserve">Average weight of "light weight"category </t>
  </si>
  <si>
    <t>Average weight of "Medium weight"category</t>
  </si>
  <si>
    <t>Average weight of "heavy weight" category</t>
  </si>
  <si>
    <t>Average for all Categories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</si>
  <si>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</si>
  <si>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</si>
  <si>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</si>
  <si>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</si>
  <si>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</si>
  <si>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</si>
  <si>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</si>
  <si>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</si>
  <si>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</si>
  <si>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</si>
  <si>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</si>
  <si>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</si>
  <si>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</si>
  <si>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</si>
  <si>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</si>
  <si>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</si>
  <si>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</si>
  <si>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</si>
  <si>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</si>
  <si>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</si>
  <si>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</si>
  <si>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</si>
  <si>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</si>
  <si>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</si>
  <si>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</si>
  <si>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</si>
  <si>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</si>
  <si>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</si>
  <si>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</si>
  <si>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</si>
  <si>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</si>
  <si>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</si>
  <si>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</si>
  <si>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</si>
  <si>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ANSWER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</si>
  <si>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</si>
  <si>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</si>
  <si>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</si>
  <si>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</si>
  <si>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</si>
  <si>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</si>
  <si>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</si>
  <si>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</si>
  <si>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</si>
  <si>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</si>
  <si>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</si>
  <si>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</si>
  <si>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</si>
  <si>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</si>
  <si>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</si>
  <si>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</si>
  <si>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</si>
  <si>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</si>
  <si>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</si>
  <si>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</si>
  <si>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</si>
  <si>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</si>
  <si>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</si>
  <si>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</si>
  <si>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</si>
  <si>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</si>
  <si>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</si>
  <si>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</si>
  <si>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</si>
  <si>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</si>
  <si>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</si>
  <si>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</si>
  <si>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</si>
  <si>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</si>
  <si>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</si>
  <si>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</si>
  <si>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</si>
  <si>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</si>
  <si>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</si>
  <si>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</si>
  <si>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</si>
  <si>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</si>
  <si>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</si>
  <si>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</si>
  <si>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</si>
  <si>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</si>
  <si>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</si>
  <si>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</si>
  <si>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</si>
  <si>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</si>
  <si>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</si>
  <si>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</si>
  <si>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</si>
  <si>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</si>
  <si>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</si>
  <si>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</si>
  <si>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</si>
  <si>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</si>
  <si>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</si>
  <si>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</si>
  <si>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</si>
  <si>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</si>
  <si>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</si>
  <si>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Adi</t>
  </si>
  <si>
    <t>Beni</t>
  </si>
  <si>
    <t>Charlie</t>
  </si>
  <si>
    <t>Dani</t>
  </si>
  <si>
    <t>Pass/fail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</si>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</sst>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B1mmm\-yy"/>
    <numFmt numFmtId="165" formatCode="_([$$-409]* #,##0.00_);_([$$-409]* \(#,##0.00\);_([$$-409]* &quot;-&quot;??_);_(@_)"/>
    <numFmt numFmtId="169" formatCode="_ * #,##0.00_ ;_ * \-#,##0.00_ ;_ * &quot;-&quot;??_ ;_ @_ "/>
    <numFmt numFmtId="170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u/>
      <sz val="11"/>
      <color theme="10"/>
      <name val="Calibri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34">
    <xf numFmtId="0" fontId="0" fillId="0" borderId="0" xfId="0"/>
    <xf numFmtId="0" fontId="4" fillId="0" borderId="2" xfId="1" applyFont="1" applyBorder="1"/>
    <xf numFmtId="0" fontId="4" fillId="3" borderId="2" xfId="1" applyFont="1" applyFill="1" applyBorder="1"/>
    <xf numFmtId="0" fontId="4" fillId="4" borderId="2" xfId="1" applyFont="1" applyFill="1" applyBorder="1"/>
    <xf numFmtId="0" fontId="4" fillId="5" borderId="2" xfId="1" applyFont="1" applyFill="1" applyBorder="1"/>
    <xf numFmtId="0" fontId="2" fillId="0" borderId="0" xfId="1"/>
    <xf numFmtId="0" fontId="4" fillId="0" borderId="0" xfId="1" applyFont="1"/>
    <xf numFmtId="0" fontId="5" fillId="0" borderId="0" xfId="1" applyFont="1"/>
    <xf numFmtId="0" fontId="2" fillId="0" borderId="0" xfId="1"/>
    <xf numFmtId="0" fontId="5" fillId="0" borderId="0" xfId="1" applyFont="1"/>
    <xf numFmtId="0" fontId="4" fillId="2" borderId="1" xfId="1" applyFont="1" applyFill="1" applyBorder="1" applyProtection="1">
      <protection locked="0"/>
    </xf>
    <xf numFmtId="0" fontId="2" fillId="0" borderId="0" xfId="1"/>
    <xf numFmtId="0" fontId="4" fillId="0" borderId="0" xfId="1" applyFont="1"/>
    <xf numFmtId="0" fontId="5" fillId="0" borderId="0" xfId="1" applyFont="1"/>
    <xf numFmtId="164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2" borderId="0" xfId="1" applyFont="1" applyFill="1" applyProtection="1">
      <protection locked="0"/>
    </xf>
    <xf numFmtId="0" fontId="4" fillId="2" borderId="0" xfId="1" applyFont="1" applyFill="1" applyProtection="1">
      <protection locked="0"/>
    </xf>
    <xf numFmtId="0" fontId="4" fillId="2" borderId="0" xfId="1" applyFont="1" applyFill="1" applyProtection="1">
      <protection locked="0"/>
    </xf>
    <xf numFmtId="0" fontId="2" fillId="0" borderId="0" xfId="1"/>
    <xf numFmtId="0" fontId="4" fillId="0" borderId="0" xfId="1" applyFont="1"/>
    <xf numFmtId="0" fontId="4" fillId="0" borderId="0" xfId="1" applyFont="1"/>
    <xf numFmtId="0" fontId="4" fillId="2" borderId="0" xfId="1" applyFont="1" applyFill="1" applyProtection="1">
      <protection locked="0"/>
    </xf>
    <xf numFmtId="0" fontId="4" fillId="2" borderId="0" xfId="1" applyFont="1" applyFill="1" applyProtection="1">
      <protection locked="0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9" fillId="0" borderId="2" xfId="1" applyFont="1" applyBorder="1"/>
    <xf numFmtId="0" fontId="10" fillId="6" borderId="2" xfId="1" applyFont="1" applyFill="1" applyBorder="1"/>
    <xf numFmtId="0" fontId="9" fillId="6" borderId="2" xfId="1" applyFont="1" applyFill="1" applyBorder="1"/>
    <xf numFmtId="0" fontId="8" fillId="0" borderId="0" xfId="1" applyFont="1"/>
    <xf numFmtId="0" fontId="9" fillId="0" borderId="0" xfId="1" applyFont="1"/>
    <xf numFmtId="0" fontId="9" fillId="2" borderId="1" xfId="1" applyFont="1" applyFill="1" applyBorder="1" applyProtection="1">
      <protection locked="0"/>
    </xf>
    <xf numFmtId="0" fontId="8" fillId="0" borderId="0" xfId="1" applyFont="1"/>
    <xf numFmtId="0" fontId="9" fillId="0" borderId="0" xfId="1" applyFont="1"/>
    <xf numFmtId="0" fontId="9" fillId="2" borderId="1" xfId="1" applyFont="1" applyFill="1" applyBorder="1" applyProtection="1">
      <protection locked="0"/>
    </xf>
    <xf numFmtId="0" fontId="11" fillId="0" borderId="0" xfId="1" applyFont="1"/>
    <xf numFmtId="0" fontId="6" fillId="0" borderId="0" xfId="1" applyFont="1"/>
    <xf numFmtId="0" fontId="12" fillId="7" borderId="2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 wrapText="1"/>
    </xf>
    <xf numFmtId="43" fontId="13" fillId="7" borderId="2" xfId="1" applyNumberFormat="1" applyFont="1" applyFill="1" applyBorder="1" applyAlignment="1">
      <alignment vertical="center" wrapText="1"/>
    </xf>
    <xf numFmtId="43" fontId="13" fillId="7" borderId="2" xfId="1" applyNumberFormat="1" applyFont="1" applyFill="1" applyBorder="1" applyAlignment="1">
      <alignment horizontal="center" vertical="center" wrapText="1"/>
    </xf>
    <xf numFmtId="1" fontId="13" fillId="7" borderId="2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Protection="1">
      <protection locked="0"/>
    </xf>
    <xf numFmtId="0" fontId="6" fillId="0" borderId="0" xfId="1" applyFont="1"/>
    <xf numFmtId="0" fontId="6" fillId="2" borderId="1" xfId="1" applyFont="1" applyFill="1" applyBorder="1" applyProtection="1">
      <protection locked="0"/>
    </xf>
    <xf numFmtId="0" fontId="0" fillId="0" borderId="0" xfId="0"/>
    <xf numFmtId="0" fontId="8" fillId="0" borderId="0" xfId="1" applyFont="1"/>
    <xf numFmtId="0" fontId="9" fillId="0" borderId="0" xfId="1" applyFont="1"/>
    <xf numFmtId="0" fontId="9" fillId="8" borderId="3" xfId="1" applyFont="1" applyFill="1" applyBorder="1"/>
    <xf numFmtId="0" fontId="9" fillId="8" borderId="4" xfId="1" applyFont="1" applyFill="1" applyBorder="1"/>
    <xf numFmtId="0" fontId="9" fillId="8" borderId="5" xfId="1" applyFont="1" applyFill="1" applyBorder="1"/>
    <xf numFmtId="0" fontId="8" fillId="0" borderId="0" xfId="1" applyFont="1"/>
    <xf numFmtId="0" fontId="9" fillId="0" borderId="0" xfId="1" applyFont="1"/>
    <xf numFmtId="0" fontId="8" fillId="0" borderId="0" xfId="1" applyFont="1"/>
    <xf numFmtId="0" fontId="9" fillId="0" borderId="0" xfId="1" applyFont="1"/>
    <xf numFmtId="0" fontId="9" fillId="2" borderId="0" xfId="1" applyFont="1" applyFill="1" applyProtection="1">
      <protection locked="0"/>
    </xf>
    <xf numFmtId="0" fontId="8" fillId="0" borderId="0" xfId="1" applyFont="1"/>
    <xf numFmtId="0" fontId="9" fillId="0" borderId="0" xfId="1" applyFont="1"/>
    <xf numFmtId="0" fontId="9" fillId="2" borderId="0" xfId="1" applyFont="1" applyFill="1" applyProtection="1">
      <protection locked="0"/>
    </xf>
    <xf numFmtId="0" fontId="8" fillId="0" borderId="0" xfId="1" applyFont="1"/>
    <xf numFmtId="0" fontId="9" fillId="0" borderId="0" xfId="1" applyFont="1"/>
    <xf numFmtId="0" fontId="9" fillId="2" borderId="0" xfId="1" applyFont="1" applyFill="1" applyProtection="1">
      <protection locked="0"/>
    </xf>
    <xf numFmtId="0" fontId="8" fillId="0" borderId="0" xfId="1" applyFont="1"/>
    <xf numFmtId="0" fontId="9" fillId="0" borderId="0" xfId="1" applyFont="1"/>
    <xf numFmtId="0" fontId="9" fillId="2" borderId="0" xfId="1" applyFont="1" applyFill="1" applyProtection="1">
      <protection locked="0"/>
    </xf>
    <xf numFmtId="0" fontId="14" fillId="0" borderId="0" xfId="0" applyFont="1"/>
    <xf numFmtId="0" fontId="11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/>
    <xf numFmtId="0" fontId="14" fillId="0" borderId="0" xfId="0" applyFont="1"/>
    <xf numFmtId="0" fontId="11" fillId="0" borderId="0" xfId="0" applyFont="1"/>
    <xf numFmtId="0" fontId="6" fillId="9" borderId="6" xfId="0" applyFont="1" applyFill="1" applyBorder="1"/>
    <xf numFmtId="0" fontId="0" fillId="0" borderId="0" xfId="0"/>
    <xf numFmtId="0" fontId="14" fillId="0" borderId="0" xfId="0" applyFont="1"/>
    <xf numFmtId="0" fontId="6" fillId="9" borderId="6" xfId="0" applyFont="1" applyFill="1" applyBorder="1"/>
    <xf numFmtId="0" fontId="14" fillId="0" borderId="0" xfId="0" applyFont="1"/>
    <xf numFmtId="0" fontId="6" fillId="9" borderId="6" xfId="0" applyFont="1" applyFill="1" applyBorder="1"/>
    <xf numFmtId="0" fontId="4" fillId="0" borderId="0" xfId="1" applyFont="1"/>
    <xf numFmtId="0" fontId="15" fillId="0" borderId="0" xfId="1" applyFont="1"/>
    <xf numFmtId="0" fontId="1" fillId="0" borderId="0" xfId="1" applyFont="1"/>
    <xf numFmtId="0" fontId="5" fillId="0" borderId="2" xfId="1" applyFont="1" applyBorder="1"/>
    <xf numFmtId="0" fontId="4" fillId="0" borderId="2" xfId="1" applyFont="1" applyBorder="1"/>
    <xf numFmtId="0" fontId="4" fillId="2" borderId="2" xfId="1" applyFont="1" applyFill="1" applyBorder="1" applyProtection="1">
      <protection locked="0"/>
    </xf>
    <xf numFmtId="0" fontId="2" fillId="0" borderId="0" xfId="1"/>
    <xf numFmtId="0" fontId="15" fillId="0" borderId="0" xfId="1" applyFont="1"/>
    <xf numFmtId="0" fontId="16" fillId="0" borderId="0" xfId="1" applyFont="1"/>
    <xf numFmtId="0" fontId="2" fillId="0" borderId="0" xfId="1"/>
    <xf numFmtId="0" fontId="4" fillId="0" borderId="0" xfId="1" applyFont="1"/>
    <xf numFmtId="0" fontId="4" fillId="0" borderId="2" xfId="1" applyFont="1" applyBorder="1"/>
    <xf numFmtId="0" fontId="5" fillId="0" borderId="2" xfId="1" applyFont="1" applyBorder="1"/>
    <xf numFmtId="165" fontId="4" fillId="0" borderId="2" xfId="1" applyNumberFormat="1" applyFont="1" applyBorder="1"/>
    <xf numFmtId="0" fontId="4" fillId="2" borderId="2" xfId="1" applyFont="1" applyFill="1" applyBorder="1" applyProtection="1">
      <protection locked="0"/>
    </xf>
    <xf numFmtId="0" fontId="2" fillId="0" borderId="0" xfId="1"/>
    <xf numFmtId="0" fontId="4" fillId="0" borderId="0" xfId="1" applyFont="1"/>
    <xf numFmtId="0" fontId="17" fillId="0" borderId="0" xfId="1" applyFont="1"/>
    <xf numFmtId="0" fontId="4" fillId="0" borderId="0" xfId="1" applyFont="1" applyAlignment="1">
      <alignment horizontal="right"/>
    </xf>
    <xf numFmtId="0" fontId="2" fillId="0" borderId="0" xfId="1"/>
    <xf numFmtId="0" fontId="4" fillId="0" borderId="2" xfId="1" applyFont="1" applyBorder="1"/>
    <xf numFmtId="0" fontId="19" fillId="0" borderId="2" xfId="1" applyFont="1" applyBorder="1"/>
    <xf numFmtId="0" fontId="19" fillId="0" borderId="7" xfId="1" applyFont="1" applyBorder="1"/>
    <xf numFmtId="0" fontId="4" fillId="0" borderId="7" xfId="1" applyFont="1" applyBorder="1"/>
    <xf numFmtId="0" fontId="4" fillId="2" borderId="2" xfId="1" applyFont="1" applyFill="1" applyBorder="1" applyProtection="1">
      <protection locked="0"/>
    </xf>
    <xf numFmtId="0" fontId="2" fillId="0" borderId="0" xfId="1"/>
    <xf numFmtId="0" fontId="1" fillId="0" borderId="0" xfId="1" applyFont="1"/>
    <xf numFmtId="0" fontId="2" fillId="0" borderId="0" xfId="1"/>
    <xf numFmtId="0" fontId="1" fillId="0" borderId="0" xfId="1" applyFont="1"/>
    <xf numFmtId="0" fontId="1" fillId="0" borderId="2" xfId="1" applyFont="1" applyBorder="1"/>
    <xf numFmtId="9" fontId="1" fillId="0" borderId="2" xfId="1" applyNumberFormat="1" applyFont="1" applyBorder="1"/>
    <xf numFmtId="0" fontId="2" fillId="0" borderId="0" xfId="1"/>
    <xf numFmtId="0" fontId="1" fillId="0" borderId="0" xfId="1" applyFont="1"/>
    <xf numFmtId="0" fontId="18" fillId="0" borderId="2" xfId="1" applyFont="1" applyBorder="1"/>
    <xf numFmtId="0" fontId="1" fillId="0" borderId="2" xfId="1" applyFont="1" applyBorder="1"/>
    <xf numFmtId="170" fontId="1" fillId="0" borderId="2" xfId="4" applyNumberFormat="1" applyFont="1" applyBorder="1"/>
    <xf numFmtId="3" fontId="1" fillId="2" borderId="2" xfId="1" applyNumberFormat="1" applyFont="1" applyFill="1" applyBorder="1" applyProtection="1">
      <protection locked="0"/>
    </xf>
    <xf numFmtId="0" fontId="2" fillId="0" borderId="0" xfId="1"/>
    <xf numFmtId="0" fontId="4" fillId="0" borderId="0" xfId="1" applyFont="1"/>
    <xf numFmtId="0" fontId="5" fillId="0" borderId="0" xfId="1" applyFont="1"/>
    <xf numFmtId="0" fontId="4" fillId="0" borderId="0" xfId="1" quotePrefix="1" applyFont="1"/>
    <xf numFmtId="0" fontId="2" fillId="0" borderId="0" xfId="1"/>
    <xf numFmtId="0" fontId="4" fillId="0" borderId="0" xfId="1" applyFont="1"/>
    <xf numFmtId="0" fontId="19" fillId="0" borderId="0" xfId="1" applyFont="1"/>
    <xf numFmtId="0" fontId="4" fillId="2" borderId="0" xfId="1" applyFont="1" applyFill="1" applyProtection="1">
      <protection locked="0"/>
    </xf>
    <xf numFmtId="0" fontId="2" fillId="0" borderId="0" xfId="1"/>
    <xf numFmtId="0" fontId="4" fillId="0" borderId="0" xfId="1" applyFont="1"/>
    <xf numFmtId="0" fontId="19" fillId="0" borderId="0" xfId="1" applyFont="1"/>
    <xf numFmtId="0" fontId="5" fillId="0" borderId="0" xfId="1" applyFont="1"/>
    <xf numFmtId="9" fontId="4" fillId="2" borderId="0" xfId="1" applyNumberFormat="1" applyFont="1" applyFill="1" applyProtection="1">
      <protection locked="0"/>
    </xf>
    <xf numFmtId="0" fontId="2" fillId="0" borderId="0" xfId="1"/>
    <xf numFmtId="0" fontId="4" fillId="0" borderId="0" xfId="1" applyFont="1"/>
    <xf numFmtId="0" fontId="19" fillId="0" borderId="0" xfId="1" applyFont="1"/>
    <xf numFmtId="0" fontId="5" fillId="0" borderId="0" xfId="1" applyFont="1"/>
    <xf numFmtId="9" fontId="4" fillId="2" borderId="0" xfId="1" applyNumberFormat="1" applyFont="1" applyFill="1" applyProtection="1">
      <protection locked="0"/>
    </xf>
  </cellXfs>
  <cellStyles count="6">
    <cellStyle name="Comma 2" xfId="4"/>
    <cellStyle name="Hyperlink 2" xfId="3"/>
    <cellStyle name="Hyperlink 3" xfId="5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O10" sqref="O10"/>
    </sheetView>
  </sheetViews>
  <sheetFormatPr defaultRowHeight="15" x14ac:dyDescent="0.25"/>
  <cols>
    <col min="1" max="1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I1" s="9" t="s">
        <v>15</v>
      </c>
      <c r="J1" s="8"/>
      <c r="K1" s="8"/>
    </row>
    <row r="2" spans="1:15" ht="15.75" thickBot="1" x14ac:dyDescent="0.3">
      <c r="A2" s="2" t="s">
        <v>3</v>
      </c>
      <c r="B2" s="2" t="s">
        <v>4</v>
      </c>
      <c r="C2" s="2">
        <v>43</v>
      </c>
    </row>
    <row r="3" spans="1:15" ht="15.75" thickBot="1" x14ac:dyDescent="0.3">
      <c r="A3" s="2" t="s">
        <v>3</v>
      </c>
      <c r="B3" s="2" t="s">
        <v>5</v>
      </c>
      <c r="C3" s="2">
        <v>59</v>
      </c>
      <c r="H3">
        <v>1</v>
      </c>
      <c r="I3" t="s">
        <v>16</v>
      </c>
      <c r="O3" s="10">
        <f>AVERAGE(C2:C4)</f>
        <v>58</v>
      </c>
    </row>
    <row r="4" spans="1:15" ht="15.75" thickBot="1" x14ac:dyDescent="0.3">
      <c r="A4" s="2" t="s">
        <v>3</v>
      </c>
      <c r="B4" s="2" t="s">
        <v>6</v>
      </c>
      <c r="C4" s="2">
        <v>72</v>
      </c>
    </row>
    <row r="5" spans="1:15" ht="15.75" thickBot="1" x14ac:dyDescent="0.3">
      <c r="A5" s="3" t="s">
        <v>7</v>
      </c>
      <c r="B5" s="3" t="s">
        <v>8</v>
      </c>
      <c r="C5" s="3">
        <v>119</v>
      </c>
      <c r="H5">
        <v>2</v>
      </c>
      <c r="I5" t="s">
        <v>17</v>
      </c>
      <c r="O5" s="10">
        <f>AVERAGE(C5:C7)</f>
        <v>162</v>
      </c>
    </row>
    <row r="6" spans="1:15" ht="15.75" thickBot="1" x14ac:dyDescent="0.3">
      <c r="A6" s="3" t="s">
        <v>7</v>
      </c>
      <c r="B6" s="3" t="s">
        <v>9</v>
      </c>
      <c r="C6" s="3">
        <v>175</v>
      </c>
    </row>
    <row r="7" spans="1:15" ht="15.75" thickBot="1" x14ac:dyDescent="0.3">
      <c r="A7" s="3" t="s">
        <v>7</v>
      </c>
      <c r="B7" s="3" t="s">
        <v>10</v>
      </c>
      <c r="C7" s="3">
        <v>192</v>
      </c>
      <c r="H7">
        <v>3</v>
      </c>
      <c r="I7" t="s">
        <v>18</v>
      </c>
      <c r="O7" s="10">
        <f>AVERAGE(C8:C10)</f>
        <v>389</v>
      </c>
    </row>
    <row r="8" spans="1:15" ht="15.75" thickBot="1" x14ac:dyDescent="0.3">
      <c r="A8" s="4" t="s">
        <v>11</v>
      </c>
      <c r="B8" s="4" t="s">
        <v>12</v>
      </c>
      <c r="C8" s="4">
        <v>240</v>
      </c>
    </row>
    <row r="9" spans="1:15" ht="15.75" thickBot="1" x14ac:dyDescent="0.3">
      <c r="A9" s="4" t="s">
        <v>11</v>
      </c>
      <c r="B9" s="4" t="s">
        <v>13</v>
      </c>
      <c r="C9" s="4">
        <v>405</v>
      </c>
      <c r="H9">
        <v>4</v>
      </c>
      <c r="I9" t="s">
        <v>19</v>
      </c>
      <c r="O9" s="10">
        <f>AVERAGE(C2:C10)</f>
        <v>203</v>
      </c>
    </row>
    <row r="10" spans="1:15" x14ac:dyDescent="0.25">
      <c r="A10" s="4" t="s">
        <v>11</v>
      </c>
      <c r="B10" s="4" t="s">
        <v>14</v>
      </c>
      <c r="C10" s="4">
        <v>522</v>
      </c>
    </row>
    <row r="14" spans="1:15" x14ac:dyDescent="0.25">
      <c r="A14" s="5"/>
      <c r="B14" s="7"/>
      <c r="C14" s="5"/>
      <c r="D14" s="5"/>
    </row>
    <row r="15" spans="1:15" x14ac:dyDescent="0.25">
      <c r="A15" s="5"/>
      <c r="B15" s="5"/>
      <c r="C15" s="5"/>
      <c r="D15" s="5"/>
    </row>
    <row r="16" spans="1:15" x14ac:dyDescent="0.25">
      <c r="A16" s="6"/>
      <c r="B16" s="6"/>
      <c r="C16" s="5"/>
    </row>
    <row r="17" spans="1:4" x14ac:dyDescent="0.25">
      <c r="A17" s="5"/>
      <c r="B17" s="5"/>
      <c r="C17" s="5"/>
      <c r="D17" s="5"/>
    </row>
    <row r="18" spans="1:4" x14ac:dyDescent="0.25">
      <c r="A18" s="6"/>
      <c r="B18" s="6"/>
      <c r="C18" s="5"/>
    </row>
    <row r="19" spans="1:4" x14ac:dyDescent="0.25">
      <c r="A19" s="5"/>
      <c r="B19" s="5"/>
      <c r="C19" s="5"/>
      <c r="D19" s="5"/>
    </row>
    <row r="20" spans="1:4" x14ac:dyDescent="0.25">
      <c r="B20" s="6"/>
      <c r="C20" s="5"/>
      <c r="D20" s="6"/>
    </row>
    <row r="21" spans="1:4" x14ac:dyDescent="0.25">
      <c r="A21" s="5"/>
      <c r="B21" s="5"/>
      <c r="C21" s="5"/>
      <c r="D21" s="5"/>
    </row>
    <row r="22" spans="1:4" x14ac:dyDescent="0.25">
      <c r="A22" s="6"/>
      <c r="B22" s="6"/>
      <c r="C2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5" workbookViewId="0">
      <selection activeCell="I26" sqref="I26"/>
    </sheetView>
  </sheetViews>
  <sheetFormatPr defaultRowHeight="15" x14ac:dyDescent="0.25"/>
  <cols>
    <col min="1" max="1" width="10.28515625" customWidth="1"/>
    <col min="3" max="3" width="12" customWidth="1"/>
    <col min="5" max="5" width="11.28515625" customWidth="1"/>
    <col min="9" max="9" width="12.28515625" customWidth="1"/>
  </cols>
  <sheetData>
    <row r="1" spans="1:3" x14ac:dyDescent="0.25">
      <c r="A1" s="12" t="s">
        <v>20</v>
      </c>
      <c r="B1" s="11"/>
      <c r="C1" s="11"/>
    </row>
    <row r="2" spans="1:3" x14ac:dyDescent="0.25">
      <c r="A2" s="12" t="s">
        <v>21</v>
      </c>
      <c r="B2" s="11"/>
      <c r="C2" s="11"/>
    </row>
    <row r="3" spans="1:3" x14ac:dyDescent="0.25">
      <c r="A3" s="13" t="s">
        <v>22</v>
      </c>
      <c r="B3" s="13" t="s">
        <v>23</v>
      </c>
      <c r="C3" s="13" t="s">
        <v>24</v>
      </c>
    </row>
    <row r="4" spans="1:3" x14ac:dyDescent="0.25">
      <c r="A4" s="12" t="s">
        <v>25</v>
      </c>
      <c r="B4" s="14">
        <v>43101</v>
      </c>
      <c r="C4" s="12">
        <v>152</v>
      </c>
    </row>
    <row r="5" spans="1:3" x14ac:dyDescent="0.25">
      <c r="A5" s="12" t="s">
        <v>26</v>
      </c>
      <c r="B5" s="14">
        <v>43101</v>
      </c>
      <c r="C5" s="12">
        <v>171</v>
      </c>
    </row>
    <row r="6" spans="1:3" x14ac:dyDescent="0.25">
      <c r="A6" s="12" t="s">
        <v>27</v>
      </c>
      <c r="B6" s="14">
        <v>43101</v>
      </c>
      <c r="C6" s="12">
        <v>110</v>
      </c>
    </row>
    <row r="7" spans="1:3" x14ac:dyDescent="0.25">
      <c r="A7" s="12" t="s">
        <v>28</v>
      </c>
      <c r="B7" s="14">
        <v>43132</v>
      </c>
      <c r="C7" s="12">
        <v>173</v>
      </c>
    </row>
    <row r="8" spans="1:3" x14ac:dyDescent="0.25">
      <c r="A8" s="12" t="s">
        <v>29</v>
      </c>
      <c r="B8" s="14">
        <v>43132</v>
      </c>
      <c r="C8" s="12">
        <v>128</v>
      </c>
    </row>
    <row r="9" spans="1:3" x14ac:dyDescent="0.25">
      <c r="A9" s="12" t="s">
        <v>30</v>
      </c>
      <c r="B9" s="14">
        <v>43132</v>
      </c>
      <c r="C9" s="12">
        <v>107</v>
      </c>
    </row>
    <row r="10" spans="1:3" x14ac:dyDescent="0.25">
      <c r="A10" s="12" t="s">
        <v>31</v>
      </c>
      <c r="B10" s="14">
        <v>43160</v>
      </c>
      <c r="C10" s="12">
        <v>213</v>
      </c>
    </row>
    <row r="11" spans="1:3" x14ac:dyDescent="0.25">
      <c r="A11" s="12" t="s">
        <v>32</v>
      </c>
      <c r="B11" s="14">
        <v>43160</v>
      </c>
      <c r="C11" s="12">
        <v>238</v>
      </c>
    </row>
    <row r="12" spans="1:3" x14ac:dyDescent="0.25">
      <c r="A12" s="12" t="s">
        <v>33</v>
      </c>
      <c r="B12" s="14">
        <v>43160</v>
      </c>
      <c r="C12" s="12">
        <v>131</v>
      </c>
    </row>
    <row r="16" spans="1:3" x14ac:dyDescent="0.25">
      <c r="B16" s="15" t="s">
        <v>34</v>
      </c>
    </row>
    <row r="18" spans="2:9" x14ac:dyDescent="0.25">
      <c r="B18" s="16">
        <v>43101</v>
      </c>
      <c r="E18" s="17">
        <f>AVERAGE(C4:C6)</f>
        <v>144.33333333333334</v>
      </c>
    </row>
    <row r="19" spans="2:9" x14ac:dyDescent="0.25">
      <c r="B19" s="16">
        <v>43132</v>
      </c>
      <c r="E19" s="18">
        <f>AVERAGE(C7:C9)</f>
        <v>136</v>
      </c>
    </row>
    <row r="20" spans="2:9" x14ac:dyDescent="0.25">
      <c r="B20" s="16">
        <v>43160</v>
      </c>
      <c r="E20" s="19">
        <f>AVERAGE(C10:C12)</f>
        <v>194</v>
      </c>
    </row>
    <row r="23" spans="2:9" x14ac:dyDescent="0.25">
      <c r="B23" s="21" t="s">
        <v>35</v>
      </c>
      <c r="C23" s="20"/>
      <c r="D23" s="20"/>
    </row>
    <row r="25" spans="2:9" x14ac:dyDescent="0.25">
      <c r="B25" s="22" t="s">
        <v>36</v>
      </c>
      <c r="I25" s="23">
        <f>SUM(C4:C12)/COUNT(C4:C12)</f>
        <v>158.11111111111111</v>
      </c>
    </row>
    <row r="26" spans="2:9" x14ac:dyDescent="0.25">
      <c r="B26" s="22" t="s">
        <v>37</v>
      </c>
      <c r="I26" s="24">
        <f>AVERAGE(C4:C12)</f>
        <v>158.11111111111111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F22" sqref="F22"/>
    </sheetView>
  </sheetViews>
  <sheetFormatPr defaultRowHeight="15" x14ac:dyDescent="0.25"/>
  <cols>
    <col min="2" max="2" width="14.28515625" customWidth="1"/>
  </cols>
  <sheetData>
    <row r="1" spans="1:8" x14ac:dyDescent="0.25">
      <c r="A1" s="25" t="s">
        <v>38</v>
      </c>
      <c r="B1" s="26"/>
      <c r="C1" s="26"/>
      <c r="D1" s="26"/>
      <c r="E1" s="26"/>
      <c r="F1" s="26"/>
      <c r="G1" s="26"/>
    </row>
    <row r="2" spans="1:8" x14ac:dyDescent="0.25">
      <c r="A2" s="27" t="s">
        <v>39</v>
      </c>
      <c r="B2" s="26"/>
      <c r="C2" s="26"/>
      <c r="D2" s="26"/>
      <c r="E2" s="26"/>
      <c r="F2" s="26"/>
      <c r="G2" s="26"/>
    </row>
    <row r="3" spans="1:8" x14ac:dyDescent="0.25">
      <c r="A3" s="28" t="s">
        <v>40</v>
      </c>
      <c r="B3" s="29" t="s">
        <v>41</v>
      </c>
      <c r="C3" s="26"/>
      <c r="D3" s="26"/>
      <c r="E3" s="26"/>
      <c r="F3" s="26"/>
      <c r="G3" s="26"/>
    </row>
    <row r="4" spans="1:8" x14ac:dyDescent="0.25">
      <c r="A4" s="28" t="s">
        <v>42</v>
      </c>
      <c r="B4" s="30">
        <v>7</v>
      </c>
      <c r="C4" s="26"/>
      <c r="D4" s="26"/>
      <c r="E4" s="26"/>
      <c r="F4" s="26"/>
      <c r="G4" s="26"/>
    </row>
    <row r="5" spans="1:8" x14ac:dyDescent="0.25">
      <c r="A5" s="28" t="s">
        <v>43</v>
      </c>
      <c r="B5" s="30">
        <v>5</v>
      </c>
      <c r="C5" s="26"/>
      <c r="D5" s="26"/>
      <c r="E5" s="26"/>
      <c r="F5" s="26"/>
      <c r="G5" s="26"/>
    </row>
    <row r="6" spans="1:8" x14ac:dyDescent="0.25">
      <c r="A6" s="28" t="s">
        <v>44</v>
      </c>
      <c r="B6" s="30">
        <v>6</v>
      </c>
      <c r="C6" s="26"/>
      <c r="D6" s="26"/>
      <c r="E6" s="26"/>
      <c r="F6" s="26"/>
      <c r="G6" s="26"/>
    </row>
    <row r="7" spans="1:8" x14ac:dyDescent="0.25">
      <c r="A7" s="28" t="s">
        <v>45</v>
      </c>
      <c r="B7" s="30">
        <v>4</v>
      </c>
      <c r="C7" s="26"/>
      <c r="D7" s="26"/>
      <c r="E7" s="26"/>
      <c r="F7" s="26"/>
      <c r="G7" s="26"/>
    </row>
    <row r="8" spans="1:8" x14ac:dyDescent="0.25">
      <c r="A8" s="28" t="s">
        <v>46</v>
      </c>
      <c r="B8" s="30" t="s">
        <v>47</v>
      </c>
      <c r="C8" s="26"/>
      <c r="D8" s="26"/>
      <c r="E8" s="26"/>
      <c r="F8" s="26"/>
      <c r="G8" s="26"/>
    </row>
    <row r="9" spans="1:8" x14ac:dyDescent="0.25">
      <c r="A9" s="28" t="s">
        <v>48</v>
      </c>
      <c r="B9" s="30" t="s">
        <v>49</v>
      </c>
      <c r="C9" s="26"/>
      <c r="D9" s="26"/>
      <c r="E9" s="26"/>
      <c r="F9" s="26"/>
      <c r="G9" s="26"/>
    </row>
    <row r="10" spans="1:8" x14ac:dyDescent="0.25">
      <c r="A10" s="28" t="s">
        <v>50</v>
      </c>
      <c r="B10" s="30" t="s">
        <v>50</v>
      </c>
      <c r="C10" s="26"/>
      <c r="D10" s="26"/>
      <c r="E10" s="26"/>
      <c r="F10" s="26"/>
      <c r="G10" s="26"/>
    </row>
    <row r="14" spans="1:8" x14ac:dyDescent="0.25">
      <c r="B14" s="32" t="s">
        <v>51</v>
      </c>
      <c r="C14" s="31"/>
      <c r="D14" s="31"/>
      <c r="E14" s="31"/>
      <c r="F14" s="31"/>
      <c r="G14" s="31"/>
      <c r="H14" s="31"/>
    </row>
    <row r="15" spans="1:8" x14ac:dyDescent="0.25">
      <c r="B15" s="31"/>
      <c r="C15" s="31"/>
      <c r="D15" s="31"/>
      <c r="E15" s="31"/>
      <c r="F15" s="31"/>
      <c r="G15" s="31"/>
      <c r="H15" s="31"/>
    </row>
    <row r="16" spans="1:8" ht="15.75" thickBot="1" x14ac:dyDescent="0.3">
      <c r="B16" s="32" t="s">
        <v>52</v>
      </c>
      <c r="C16" s="32" t="s">
        <v>53</v>
      </c>
      <c r="D16" s="31"/>
      <c r="E16" s="31"/>
      <c r="F16" s="31"/>
      <c r="G16" s="31"/>
      <c r="H16" s="31"/>
    </row>
    <row r="17" spans="2:6" ht="15.75" thickBot="1" x14ac:dyDescent="0.3">
      <c r="B17" t="s">
        <v>54</v>
      </c>
      <c r="C17" s="33">
        <f>COUNT(B4:B7)</f>
        <v>4</v>
      </c>
    </row>
    <row r="19" spans="2:6" ht="15.75" thickBot="1" x14ac:dyDescent="0.3">
      <c r="B19" s="35" t="s">
        <v>52</v>
      </c>
      <c r="C19" s="35" t="s">
        <v>55</v>
      </c>
      <c r="D19" s="34"/>
      <c r="E19" s="34"/>
      <c r="F19" s="34"/>
    </row>
    <row r="20" spans="2:6" ht="15.75" thickBot="1" x14ac:dyDescent="0.3">
      <c r="B20" t="s">
        <v>54</v>
      </c>
      <c r="C20" s="36">
        <f>COUNT(B4:B10)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5" workbookViewId="0">
      <selection activeCell="L24" sqref="L24"/>
    </sheetView>
  </sheetViews>
  <sheetFormatPr defaultRowHeight="15" x14ac:dyDescent="0.25"/>
  <sheetData>
    <row r="1" spans="1:6" x14ac:dyDescent="0.25">
      <c r="A1" s="37" t="s">
        <v>56</v>
      </c>
      <c r="B1" s="38"/>
      <c r="C1" s="38"/>
      <c r="D1" s="38"/>
      <c r="E1" s="38"/>
      <c r="F1" s="38"/>
    </row>
    <row r="2" spans="1:6" x14ac:dyDescent="0.25">
      <c r="A2" s="37" t="s">
        <v>57</v>
      </c>
      <c r="B2" s="38"/>
      <c r="C2" s="38"/>
      <c r="D2" s="38"/>
      <c r="E2" s="38"/>
      <c r="F2" s="38"/>
    </row>
    <row r="3" spans="1:6" ht="24" x14ac:dyDescent="0.25">
      <c r="A3" s="39" t="s">
        <v>58</v>
      </c>
      <c r="B3" s="39" t="s">
        <v>59</v>
      </c>
      <c r="C3" s="39" t="s">
        <v>60</v>
      </c>
      <c r="D3" s="38"/>
      <c r="E3" s="38"/>
      <c r="F3" s="38"/>
    </row>
    <row r="4" spans="1:6" ht="36" x14ac:dyDescent="0.25">
      <c r="A4" s="40">
        <v>101</v>
      </c>
      <c r="B4" s="40" t="s">
        <v>61</v>
      </c>
      <c r="C4" s="41">
        <v>78022</v>
      </c>
      <c r="D4" s="38"/>
      <c r="E4" s="38"/>
      <c r="F4" s="38"/>
    </row>
    <row r="5" spans="1:6" ht="24" x14ac:dyDescent="0.25">
      <c r="A5" s="40">
        <v>102</v>
      </c>
      <c r="B5" s="40" t="s">
        <v>62</v>
      </c>
      <c r="C5" s="41">
        <v>99819</v>
      </c>
      <c r="D5" s="38"/>
      <c r="E5" s="38"/>
      <c r="F5" s="38"/>
    </row>
    <row r="6" spans="1:6" ht="24" x14ac:dyDescent="0.25">
      <c r="A6" s="40">
        <v>103</v>
      </c>
      <c r="B6" s="40" t="s">
        <v>63</v>
      </c>
      <c r="C6" s="42" t="s">
        <v>64</v>
      </c>
      <c r="D6" s="38"/>
      <c r="E6" s="38"/>
      <c r="F6" s="38"/>
    </row>
    <row r="7" spans="1:6" ht="24" x14ac:dyDescent="0.25">
      <c r="A7" s="40">
        <v>104</v>
      </c>
      <c r="B7" s="40" t="s">
        <v>65</v>
      </c>
      <c r="C7" s="41">
        <v>27522</v>
      </c>
      <c r="D7" s="38"/>
      <c r="E7" s="38"/>
      <c r="F7" s="38"/>
    </row>
    <row r="8" spans="1:6" ht="24" x14ac:dyDescent="0.25">
      <c r="A8" s="40">
        <v>105</v>
      </c>
      <c r="B8" s="40" t="s">
        <v>66</v>
      </c>
      <c r="C8" s="43">
        <v>0</v>
      </c>
      <c r="D8" s="38"/>
      <c r="E8" s="38"/>
      <c r="F8" s="38"/>
    </row>
    <row r="9" spans="1:6" ht="24" x14ac:dyDescent="0.25">
      <c r="A9" s="40">
        <v>106</v>
      </c>
      <c r="B9" s="40" t="s">
        <v>67</v>
      </c>
      <c r="C9" s="43"/>
      <c r="D9" s="38"/>
      <c r="E9" s="38"/>
      <c r="F9" s="38"/>
    </row>
    <row r="10" spans="1:6" ht="24" x14ac:dyDescent="0.25">
      <c r="A10" s="40">
        <v>107</v>
      </c>
      <c r="B10" s="40" t="s">
        <v>68</v>
      </c>
      <c r="C10" s="43">
        <v>0</v>
      </c>
      <c r="D10" s="38"/>
      <c r="E10" s="38"/>
      <c r="F10" s="38"/>
    </row>
    <row r="11" spans="1:6" ht="24" x14ac:dyDescent="0.25">
      <c r="A11" s="40">
        <v>108</v>
      </c>
      <c r="B11" s="40" t="s">
        <v>69</v>
      </c>
      <c r="C11" s="41">
        <v>88041</v>
      </c>
      <c r="D11" s="38"/>
      <c r="E11" s="38"/>
      <c r="F11" s="38"/>
    </row>
    <row r="12" spans="1:6" ht="36" x14ac:dyDescent="0.25">
      <c r="A12" s="40">
        <v>109</v>
      </c>
      <c r="B12" s="40" t="s">
        <v>70</v>
      </c>
      <c r="C12" s="41">
        <v>81831</v>
      </c>
      <c r="D12" s="38"/>
      <c r="E12" s="38"/>
      <c r="F12" s="38"/>
    </row>
    <row r="13" spans="1:6" ht="24" x14ac:dyDescent="0.25">
      <c r="A13" s="40">
        <v>110</v>
      </c>
      <c r="B13" s="40" t="s">
        <v>71</v>
      </c>
      <c r="C13" s="42" t="s">
        <v>64</v>
      </c>
      <c r="D13" s="38"/>
      <c r="E13" s="38"/>
      <c r="F13" s="38"/>
    </row>
    <row r="14" spans="1:6" ht="36" x14ac:dyDescent="0.25">
      <c r="A14" s="40">
        <v>111</v>
      </c>
      <c r="B14" s="40" t="s">
        <v>72</v>
      </c>
      <c r="C14" s="41"/>
      <c r="D14" s="38"/>
      <c r="E14" s="38"/>
      <c r="F14" s="38"/>
    </row>
    <row r="15" spans="1:6" ht="48" x14ac:dyDescent="0.25">
      <c r="A15" s="40">
        <v>112</v>
      </c>
      <c r="B15" s="40" t="s">
        <v>73</v>
      </c>
      <c r="C15" s="41">
        <v>26624</v>
      </c>
      <c r="D15" s="38"/>
      <c r="E15" s="38"/>
      <c r="F15" s="38"/>
    </row>
    <row r="16" spans="1:6" ht="36" x14ac:dyDescent="0.25">
      <c r="A16" s="40">
        <v>113</v>
      </c>
      <c r="B16" s="40" t="s">
        <v>74</v>
      </c>
      <c r="C16" s="41">
        <v>92885</v>
      </c>
      <c r="D16" s="38"/>
      <c r="E16" s="38"/>
      <c r="F16" s="38"/>
    </row>
    <row r="17" spans="1:6" ht="48" x14ac:dyDescent="0.25">
      <c r="A17" s="40">
        <v>114</v>
      </c>
      <c r="B17" s="40" t="s">
        <v>75</v>
      </c>
      <c r="C17" s="43">
        <v>0</v>
      </c>
      <c r="D17" s="38"/>
      <c r="E17" s="38"/>
      <c r="F17" s="38"/>
    </row>
    <row r="18" spans="1:6" x14ac:dyDescent="0.25">
      <c r="A18" s="38"/>
      <c r="B18" s="38"/>
      <c r="C18" s="38"/>
      <c r="D18" s="38"/>
      <c r="E18" s="38"/>
      <c r="F18" s="38"/>
    </row>
    <row r="19" spans="1:6" x14ac:dyDescent="0.25">
      <c r="A19" s="37" t="s">
        <v>76</v>
      </c>
      <c r="B19" s="38"/>
      <c r="C19" s="38"/>
      <c r="D19" s="38"/>
      <c r="E19" s="38"/>
      <c r="F19" s="38"/>
    </row>
    <row r="20" spans="1:6" ht="15.75" thickBot="1" x14ac:dyDescent="0.3">
      <c r="A20" s="38" t="s">
        <v>52</v>
      </c>
      <c r="B20" s="38" t="s">
        <v>77</v>
      </c>
      <c r="C20" s="38"/>
      <c r="D20" s="38"/>
      <c r="E20" s="38"/>
      <c r="F20" s="38"/>
    </row>
    <row r="21" spans="1:6" ht="15.75" thickBot="1" x14ac:dyDescent="0.3">
      <c r="A21" t="s">
        <v>41</v>
      </c>
      <c r="C21" s="44">
        <f>COUNT(C4:C17)</f>
        <v>10</v>
      </c>
    </row>
    <row r="23" spans="1:6" ht="15.75" thickBot="1" x14ac:dyDescent="0.3">
      <c r="A23" s="45" t="s">
        <v>52</v>
      </c>
      <c r="B23" s="45" t="s">
        <v>78</v>
      </c>
      <c r="C23" s="45"/>
      <c r="D23" s="45"/>
      <c r="E23" s="45"/>
      <c r="F23" s="45"/>
    </row>
    <row r="24" spans="1:6" ht="15.75" thickBot="1" x14ac:dyDescent="0.3">
      <c r="A24" t="s">
        <v>41</v>
      </c>
      <c r="C24" s="46">
        <f>COUNTA(C4:C17)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H11" sqref="H11"/>
    </sheetView>
  </sheetViews>
  <sheetFormatPr defaultRowHeight="15" x14ac:dyDescent="0.25"/>
  <cols>
    <col min="1" max="1" width="22.7109375" customWidth="1"/>
  </cols>
  <sheetData>
    <row r="1" spans="1:12" x14ac:dyDescent="0.25">
      <c r="A1" s="49" t="s">
        <v>79</v>
      </c>
      <c r="B1" s="48"/>
      <c r="C1" s="48"/>
      <c r="H1" s="54" t="s">
        <v>84</v>
      </c>
      <c r="I1" s="53"/>
      <c r="J1" s="53"/>
      <c r="K1" s="53"/>
      <c r="L1" s="53"/>
    </row>
    <row r="2" spans="1:12" ht="15.75" thickBot="1" x14ac:dyDescent="0.3">
      <c r="A2" s="48"/>
      <c r="B2" s="48"/>
      <c r="C2" s="48"/>
    </row>
    <row r="3" spans="1:12" x14ac:dyDescent="0.25">
      <c r="A3" s="50"/>
      <c r="B3" s="48"/>
      <c r="C3" s="48"/>
      <c r="G3">
        <v>1</v>
      </c>
      <c r="H3" s="56" t="s">
        <v>85</v>
      </c>
      <c r="I3" s="55"/>
      <c r="J3" s="55"/>
      <c r="K3" s="55"/>
      <c r="L3" s="55"/>
    </row>
    <row r="4" spans="1:12" x14ac:dyDescent="0.25">
      <c r="A4" s="51" t="s">
        <v>80</v>
      </c>
      <c r="B4" s="48"/>
      <c r="C4" s="48"/>
      <c r="H4" s="57">
        <f>COUNT(A3:A13)</f>
        <v>2</v>
      </c>
    </row>
    <row r="5" spans="1:12" x14ac:dyDescent="0.25">
      <c r="A5" s="51">
        <v>4</v>
      </c>
      <c r="B5" s="48"/>
      <c r="C5" s="48"/>
    </row>
    <row r="6" spans="1:12" x14ac:dyDescent="0.25">
      <c r="A6" s="51"/>
      <c r="B6" s="48"/>
      <c r="C6" s="48"/>
      <c r="G6">
        <v>2</v>
      </c>
      <c r="H6" s="59" t="s">
        <v>86</v>
      </c>
      <c r="I6" s="58"/>
      <c r="J6" s="58"/>
      <c r="K6" s="58"/>
    </row>
    <row r="7" spans="1:12" x14ac:dyDescent="0.25">
      <c r="A7" s="51">
        <v>3</v>
      </c>
      <c r="B7" s="48"/>
      <c r="C7" s="48"/>
      <c r="H7" s="60">
        <f>COUNTBLANK(A3:A13)</f>
        <v>4</v>
      </c>
    </row>
    <row r="8" spans="1:12" x14ac:dyDescent="0.25">
      <c r="A8" s="51"/>
      <c r="B8" s="48"/>
      <c r="C8" s="48"/>
    </row>
    <row r="9" spans="1:12" x14ac:dyDescent="0.25">
      <c r="A9" s="51" t="s">
        <v>81</v>
      </c>
      <c r="B9" s="48"/>
      <c r="C9" s="48"/>
      <c r="G9">
        <v>3</v>
      </c>
      <c r="H9" s="62" t="s">
        <v>87</v>
      </c>
      <c r="I9" s="61"/>
      <c r="J9" s="61"/>
      <c r="K9" s="61"/>
      <c r="L9" s="61"/>
    </row>
    <row r="10" spans="1:12" x14ac:dyDescent="0.25">
      <c r="A10" s="51"/>
      <c r="B10" s="48"/>
      <c r="C10" s="48"/>
      <c r="H10" s="63">
        <f>COUNTA(A3:A13)-COUNT(A3:A13)</f>
        <v>5</v>
      </c>
    </row>
    <row r="11" spans="1:12" x14ac:dyDescent="0.25">
      <c r="A11" s="51" t="e">
        <v>#DIV/0!</v>
      </c>
      <c r="B11" s="48"/>
      <c r="C11" s="48"/>
    </row>
    <row r="12" spans="1:12" x14ac:dyDescent="0.25">
      <c r="A12" s="51" t="s">
        <v>82</v>
      </c>
      <c r="B12" s="48"/>
      <c r="C12" s="48"/>
      <c r="G12">
        <v>4</v>
      </c>
      <c r="H12" s="65" t="s">
        <v>88</v>
      </c>
      <c r="I12" s="64"/>
      <c r="J12" s="64"/>
      <c r="K12" s="64"/>
    </row>
    <row r="13" spans="1:12" ht="15.75" thickBot="1" x14ac:dyDescent="0.3">
      <c r="A13" s="52" t="s">
        <v>83</v>
      </c>
      <c r="B13" s="48"/>
      <c r="C13" s="48"/>
      <c r="H13" s="66">
        <f>ROWS(A2:A12)*COLUMN(A2:A13)</f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B18" sqref="B18"/>
    </sheetView>
  </sheetViews>
  <sheetFormatPr defaultRowHeight="15" x14ac:dyDescent="0.25"/>
  <cols>
    <col min="1" max="1" width="15.140625" customWidth="1"/>
    <col min="2" max="2" width="12.28515625" customWidth="1"/>
    <col min="3" max="3" width="11.85546875" customWidth="1"/>
    <col min="4" max="4" width="12.140625" bestFit="1" customWidth="1"/>
    <col min="5" max="5" width="9.42578125" bestFit="1" customWidth="1"/>
    <col min="6" max="6" width="10" bestFit="1" customWidth="1"/>
    <col min="7" max="7" width="12" bestFit="1" customWidth="1"/>
    <col min="8" max="8" width="14.7109375" bestFit="1" customWidth="1"/>
    <col min="9" max="9" width="12.140625" bestFit="1" customWidth="1"/>
    <col min="10" max="10" width="12.28515625" bestFit="1" customWidth="1"/>
    <col min="11" max="11" width="12.7109375" bestFit="1" customWidth="1"/>
  </cols>
  <sheetData>
    <row r="1" spans="1:11" x14ac:dyDescent="0.25">
      <c r="A1" s="67" t="s">
        <v>89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25">
      <c r="A2" s="68" t="s">
        <v>90</v>
      </c>
      <c r="B2" s="68">
        <v>101</v>
      </c>
      <c r="C2" s="68">
        <v>102</v>
      </c>
      <c r="D2" s="68">
        <v>103</v>
      </c>
      <c r="E2" s="68">
        <v>104</v>
      </c>
      <c r="F2" s="68">
        <v>105</v>
      </c>
      <c r="G2" s="68">
        <v>106</v>
      </c>
      <c r="H2" s="68">
        <v>107</v>
      </c>
      <c r="I2" s="68">
        <v>108</v>
      </c>
      <c r="J2" s="68">
        <v>109</v>
      </c>
      <c r="K2" s="68">
        <v>110</v>
      </c>
    </row>
    <row r="3" spans="1:11" x14ac:dyDescent="0.25">
      <c r="A3" s="68" t="s">
        <v>91</v>
      </c>
      <c r="B3" s="69" t="s">
        <v>92</v>
      </c>
      <c r="C3" s="69" t="s">
        <v>93</v>
      </c>
      <c r="D3" s="69" t="s">
        <v>94</v>
      </c>
      <c r="E3" s="69" t="s">
        <v>95</v>
      </c>
      <c r="F3" s="69" t="s">
        <v>96</v>
      </c>
      <c r="G3" s="69" t="s">
        <v>97</v>
      </c>
      <c r="H3" s="69" t="s">
        <v>98</v>
      </c>
      <c r="I3" s="69" t="s">
        <v>99</v>
      </c>
      <c r="J3" s="69" t="s">
        <v>100</v>
      </c>
      <c r="K3" s="69" t="s">
        <v>101</v>
      </c>
    </row>
    <row r="4" spans="1:11" x14ac:dyDescent="0.25">
      <c r="A4" s="68" t="s">
        <v>102</v>
      </c>
      <c r="B4" s="69" t="s">
        <v>103</v>
      </c>
      <c r="C4" s="69" t="s">
        <v>104</v>
      </c>
      <c r="D4" s="69" t="s">
        <v>105</v>
      </c>
      <c r="E4" s="69" t="s">
        <v>106</v>
      </c>
      <c r="F4" s="69" t="s">
        <v>103</v>
      </c>
      <c r="G4" s="69" t="s">
        <v>104</v>
      </c>
      <c r="H4" s="69" t="s">
        <v>105</v>
      </c>
      <c r="I4" s="69" t="s">
        <v>106</v>
      </c>
      <c r="J4" s="69" t="s">
        <v>103</v>
      </c>
      <c r="K4" s="69" t="s">
        <v>104</v>
      </c>
    </row>
    <row r="5" spans="1:11" x14ac:dyDescent="0.25">
      <c r="A5" s="68" t="s">
        <v>107</v>
      </c>
      <c r="B5" s="69">
        <v>50000</v>
      </c>
      <c r="C5" s="69">
        <v>55000</v>
      </c>
      <c r="D5" s="69">
        <v>60000</v>
      </c>
      <c r="E5" s="69">
        <v>65000</v>
      </c>
      <c r="F5" s="69">
        <v>70000</v>
      </c>
      <c r="G5" s="69">
        <v>75000</v>
      </c>
      <c r="H5" s="69">
        <v>80000</v>
      </c>
      <c r="I5" s="69">
        <v>85000</v>
      </c>
      <c r="J5" s="69">
        <v>90000</v>
      </c>
      <c r="K5" s="69">
        <v>95000</v>
      </c>
    </row>
    <row r="6" spans="1:11" x14ac:dyDescent="0.25">
      <c r="A6" s="68" t="s">
        <v>108</v>
      </c>
      <c r="B6" s="69">
        <v>2000</v>
      </c>
      <c r="C6" s="69">
        <v>2500</v>
      </c>
      <c r="D6" s="69">
        <v>3000</v>
      </c>
      <c r="E6" s="69">
        <v>3500</v>
      </c>
      <c r="F6" s="69">
        <v>4000</v>
      </c>
      <c r="G6" s="69">
        <v>4500</v>
      </c>
      <c r="H6" s="69">
        <v>5000</v>
      </c>
      <c r="I6" s="69">
        <v>5500</v>
      </c>
      <c r="J6" s="69">
        <v>6000</v>
      </c>
      <c r="K6" s="69">
        <v>6500</v>
      </c>
    </row>
    <row r="7" spans="1:11" x14ac:dyDescent="0.25">
      <c r="A7" s="68" t="s">
        <v>109</v>
      </c>
      <c r="B7" s="69">
        <v>52000</v>
      </c>
      <c r="C7" s="69">
        <v>57500</v>
      </c>
      <c r="D7" s="69">
        <v>63000</v>
      </c>
      <c r="E7" s="69">
        <v>685000</v>
      </c>
      <c r="F7" s="69">
        <v>74000</v>
      </c>
      <c r="G7" s="69">
        <v>79500</v>
      </c>
      <c r="H7" s="69">
        <v>85000</v>
      </c>
      <c r="I7" s="69">
        <v>90500</v>
      </c>
      <c r="J7" s="69">
        <v>96000</v>
      </c>
      <c r="K7" s="69">
        <v>101500</v>
      </c>
    </row>
    <row r="10" spans="1:11" x14ac:dyDescent="0.25">
      <c r="A10" s="72">
        <v>1</v>
      </c>
      <c r="B10" s="71" t="s">
        <v>110</v>
      </c>
      <c r="C10" s="70"/>
      <c r="D10" s="70"/>
      <c r="E10" s="70"/>
    </row>
    <row r="11" spans="1:11" x14ac:dyDescent="0.25">
      <c r="A11" t="s">
        <v>54</v>
      </c>
      <c r="B11" s="73" t="str">
        <f>HLOOKUP(102,A2:K7,3,"False")</f>
        <v>Marketing</v>
      </c>
    </row>
    <row r="13" spans="1:11" x14ac:dyDescent="0.25">
      <c r="A13">
        <v>2</v>
      </c>
      <c r="B13" s="75" t="s">
        <v>111</v>
      </c>
      <c r="C13" s="74"/>
      <c r="D13" s="74"/>
    </row>
    <row r="14" spans="1:11" x14ac:dyDescent="0.25">
      <c r="A14" t="s">
        <v>54</v>
      </c>
      <c r="B14" s="76">
        <f>HLOOKUP(105,A2:K7,4,FALSE)</f>
        <v>70000</v>
      </c>
    </row>
    <row r="16" spans="1:11" x14ac:dyDescent="0.25">
      <c r="A16">
        <v>3</v>
      </c>
      <c r="B16" s="77" t="s">
        <v>112</v>
      </c>
      <c r="C16" s="77"/>
      <c r="D16" s="77"/>
    </row>
    <row r="17" spans="1:2" x14ac:dyDescent="0.25">
      <c r="A17" t="s">
        <v>54</v>
      </c>
      <c r="B17" s="78">
        <f>HLOOKUP(107,A2:K7,6,FALSE)</f>
        <v>85000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9" sqref="F9"/>
    </sheetView>
  </sheetViews>
  <sheetFormatPr defaultRowHeight="15" x14ac:dyDescent="0.25"/>
  <sheetData>
    <row r="1" spans="1:5" x14ac:dyDescent="0.25">
      <c r="A1" s="80" t="s">
        <v>113</v>
      </c>
      <c r="B1" s="81"/>
      <c r="C1" s="81"/>
      <c r="D1" s="81"/>
      <c r="E1" s="81"/>
    </row>
    <row r="2" spans="1:5" x14ac:dyDescent="0.25">
      <c r="A2" s="79" t="s">
        <v>114</v>
      </c>
      <c r="B2" s="81"/>
      <c r="C2" s="81"/>
      <c r="D2" s="81"/>
      <c r="E2" s="81"/>
    </row>
    <row r="3" spans="1:5" x14ac:dyDescent="0.25">
      <c r="A3" s="79" t="s">
        <v>115</v>
      </c>
      <c r="B3" s="81"/>
      <c r="C3" s="81"/>
      <c r="D3" s="81"/>
      <c r="E3" s="81"/>
    </row>
    <row r="4" spans="1:5" x14ac:dyDescent="0.25">
      <c r="A4" s="79" t="s">
        <v>116</v>
      </c>
      <c r="B4" s="81"/>
      <c r="C4" s="81"/>
      <c r="D4" s="81"/>
      <c r="E4" s="81"/>
    </row>
    <row r="7" spans="1:5" x14ac:dyDescent="0.25">
      <c r="B7" s="82" t="s">
        <v>1</v>
      </c>
      <c r="C7" s="82" t="s">
        <v>117</v>
      </c>
      <c r="D7" t="s">
        <v>122</v>
      </c>
    </row>
    <row r="8" spans="1:5" x14ac:dyDescent="0.25">
      <c r="B8" s="83" t="s">
        <v>118</v>
      </c>
      <c r="C8" s="83">
        <v>98</v>
      </c>
      <c r="D8" s="84" t="str">
        <f>IF(C8&gt;=60,"pass","Fail")</f>
        <v>pass</v>
      </c>
    </row>
    <row r="9" spans="1:5" x14ac:dyDescent="0.25">
      <c r="B9" s="83" t="s">
        <v>119</v>
      </c>
      <c r="C9" s="83">
        <v>55</v>
      </c>
      <c r="D9" s="84" t="str">
        <f t="shared" ref="D9:D11" si="0">IF(C9&gt;=60,"pass","Fail")</f>
        <v>Fail</v>
      </c>
    </row>
    <row r="10" spans="1:5" x14ac:dyDescent="0.25">
      <c r="B10" s="83" t="s">
        <v>120</v>
      </c>
      <c r="C10" s="83">
        <v>15</v>
      </c>
      <c r="D10" s="84" t="str">
        <f t="shared" si="0"/>
        <v>Fail</v>
      </c>
    </row>
    <row r="11" spans="1:5" x14ac:dyDescent="0.25">
      <c r="B11" s="83" t="s">
        <v>121</v>
      </c>
      <c r="C11" s="83">
        <v>60</v>
      </c>
      <c r="D11" s="84" t="str">
        <f t="shared" si="0"/>
        <v>pass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0" sqref="F10"/>
    </sheetView>
  </sheetViews>
  <sheetFormatPr defaultRowHeight="15" x14ac:dyDescent="0.25"/>
  <cols>
    <col min="1" max="1" width="20.5703125" customWidth="1"/>
    <col min="4" max="4" width="11.7109375" customWidth="1"/>
  </cols>
  <sheetData>
    <row r="1" spans="1:5" x14ac:dyDescent="0.25">
      <c r="A1" s="86" t="s">
        <v>123</v>
      </c>
      <c r="B1" s="85"/>
      <c r="C1" s="85"/>
      <c r="D1" s="85"/>
      <c r="E1" s="85"/>
    </row>
    <row r="2" spans="1:5" x14ac:dyDescent="0.25">
      <c r="A2" s="87" t="s">
        <v>124</v>
      </c>
      <c r="B2" s="85"/>
      <c r="C2" s="85"/>
      <c r="D2" s="85"/>
      <c r="E2" s="85"/>
    </row>
    <row r="3" spans="1:5" x14ac:dyDescent="0.25">
      <c r="A3" s="86" t="s">
        <v>125</v>
      </c>
      <c r="B3" s="85"/>
      <c r="C3" s="85"/>
      <c r="D3" s="85"/>
      <c r="E3" s="85"/>
    </row>
    <row r="5" spans="1:5" x14ac:dyDescent="0.25">
      <c r="A5" s="88"/>
      <c r="B5" s="89" t="s">
        <v>4</v>
      </c>
      <c r="C5" s="89" t="s">
        <v>5</v>
      </c>
      <c r="D5" s="88"/>
    </row>
    <row r="6" spans="1:5" x14ac:dyDescent="0.25">
      <c r="A6" s="90"/>
      <c r="B6" s="90" t="s">
        <v>126</v>
      </c>
      <c r="C6" s="90" t="s">
        <v>127</v>
      </c>
      <c r="D6" s="91" t="s">
        <v>128</v>
      </c>
    </row>
    <row r="7" spans="1:5" x14ac:dyDescent="0.25">
      <c r="A7" s="90" t="s">
        <v>129</v>
      </c>
      <c r="B7" s="92">
        <v>94</v>
      </c>
      <c r="C7" s="92">
        <v>94</v>
      </c>
      <c r="D7" s="93" t="str">
        <f>IF(B7=C7,"Match","No match")</f>
        <v>Match</v>
      </c>
    </row>
    <row r="8" spans="1:5" x14ac:dyDescent="0.25">
      <c r="A8" s="90" t="s">
        <v>130</v>
      </c>
      <c r="B8" s="92">
        <v>109</v>
      </c>
      <c r="C8" s="92">
        <v>109</v>
      </c>
      <c r="D8" s="93" t="str">
        <f t="shared" ref="D8:D10" si="0">IF(B8=C8,"Match","No match")</f>
        <v>Match</v>
      </c>
    </row>
    <row r="9" spans="1:5" x14ac:dyDescent="0.25">
      <c r="A9" s="90" t="s">
        <v>131</v>
      </c>
      <c r="B9" s="92">
        <v>85</v>
      </c>
      <c r="C9" s="92">
        <v>85.5</v>
      </c>
      <c r="D9" s="93" t="str">
        <f t="shared" si="0"/>
        <v>No match</v>
      </c>
    </row>
    <row r="10" spans="1:5" x14ac:dyDescent="0.25">
      <c r="A10" s="90" t="s">
        <v>132</v>
      </c>
      <c r="B10" s="92">
        <v>12</v>
      </c>
      <c r="C10" s="92">
        <v>12</v>
      </c>
      <c r="D10" s="93" t="str">
        <f t="shared" si="0"/>
        <v>Match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M12" sqref="M12"/>
    </sheetView>
  </sheetViews>
  <sheetFormatPr defaultRowHeight="15" x14ac:dyDescent="0.25"/>
  <cols>
    <col min="5" max="5" width="13.5703125" bestFit="1" customWidth="1"/>
    <col min="6" max="6" width="13.28515625" bestFit="1" customWidth="1"/>
  </cols>
  <sheetData>
    <row r="1" spans="1:8" x14ac:dyDescent="0.25">
      <c r="B1" s="95" t="s">
        <v>133</v>
      </c>
      <c r="C1" s="94"/>
      <c r="D1" s="94"/>
      <c r="E1" s="94"/>
      <c r="F1" s="94"/>
      <c r="G1" s="94"/>
      <c r="H1" s="94"/>
    </row>
    <row r="2" spans="1:8" x14ac:dyDescent="0.25">
      <c r="A2">
        <v>1</v>
      </c>
      <c r="B2" s="96" t="s">
        <v>134</v>
      </c>
      <c r="C2" s="94"/>
      <c r="D2" s="94"/>
      <c r="E2" s="94"/>
      <c r="F2" s="94"/>
      <c r="G2" s="94"/>
      <c r="H2" s="94"/>
    </row>
    <row r="3" spans="1:8" x14ac:dyDescent="0.25">
      <c r="B3" s="97"/>
      <c r="C3" s="94"/>
      <c r="D3" s="94"/>
      <c r="E3" s="94"/>
      <c r="F3" s="94"/>
      <c r="G3" s="94"/>
      <c r="H3" s="94"/>
    </row>
    <row r="4" spans="1:8" x14ac:dyDescent="0.25">
      <c r="A4">
        <v>2</v>
      </c>
      <c r="B4" s="96" t="s">
        <v>135</v>
      </c>
      <c r="C4" s="94"/>
      <c r="D4" s="94"/>
      <c r="E4" s="94"/>
      <c r="F4" s="94"/>
      <c r="G4" s="94"/>
      <c r="H4" s="94"/>
    </row>
    <row r="7" spans="1:8" x14ac:dyDescent="0.25">
      <c r="B7" s="98"/>
      <c r="C7" s="98"/>
      <c r="D7" s="98"/>
      <c r="E7" s="99" t="s">
        <v>136</v>
      </c>
      <c r="F7" s="99" t="s">
        <v>137</v>
      </c>
    </row>
    <row r="8" spans="1:8" x14ac:dyDescent="0.25">
      <c r="B8" s="100" t="s">
        <v>138</v>
      </c>
      <c r="C8" s="100" t="s">
        <v>1</v>
      </c>
      <c r="D8" s="101" t="s">
        <v>139</v>
      </c>
      <c r="E8" s="100" t="s">
        <v>140</v>
      </c>
      <c r="F8" s="100" t="s">
        <v>141</v>
      </c>
    </row>
    <row r="9" spans="1:8" x14ac:dyDescent="0.25">
      <c r="B9" s="99">
        <v>1</v>
      </c>
      <c r="C9" s="99" t="s">
        <v>142</v>
      </c>
      <c r="D9" s="102">
        <v>16</v>
      </c>
      <c r="E9" s="103" t="str">
        <f>IF(D9&gt;=16,"Eligible","not elgible")</f>
        <v>Eligible</v>
      </c>
      <c r="F9" s="103" t="str">
        <f>IF(D9&gt;18,"minor","Adult")</f>
        <v>Adult</v>
      </c>
    </row>
    <row r="10" spans="1:8" x14ac:dyDescent="0.25">
      <c r="B10" s="99">
        <v>2</v>
      </c>
      <c r="C10" s="99" t="s">
        <v>143</v>
      </c>
      <c r="D10" s="102">
        <v>18</v>
      </c>
      <c r="E10" s="103" t="str">
        <f t="shared" ref="E10:E16" si="0">IF(D10&gt;=16,"Eligible","not elgible")</f>
        <v>Eligible</v>
      </c>
      <c r="F10" s="103" t="str">
        <f t="shared" ref="F10:F16" si="1">IF(D10&gt;18,"minor","Adult")</f>
        <v>Adult</v>
      </c>
    </row>
    <row r="11" spans="1:8" x14ac:dyDescent="0.25">
      <c r="B11" s="99">
        <v>3</v>
      </c>
      <c r="C11" s="99" t="s">
        <v>144</v>
      </c>
      <c r="D11" s="102">
        <v>15.5</v>
      </c>
      <c r="E11" s="103" t="str">
        <f t="shared" si="0"/>
        <v>not elgible</v>
      </c>
      <c r="F11" s="103" t="str">
        <f t="shared" si="1"/>
        <v>Adult</v>
      </c>
    </row>
    <row r="12" spans="1:8" x14ac:dyDescent="0.25">
      <c r="B12" s="99">
        <v>4</v>
      </c>
      <c r="C12" s="99" t="s">
        <v>145</v>
      </c>
      <c r="D12" s="102">
        <v>19</v>
      </c>
      <c r="E12" s="103" t="str">
        <f t="shared" si="0"/>
        <v>Eligible</v>
      </c>
      <c r="F12" s="103" t="str">
        <f t="shared" si="1"/>
        <v>minor</v>
      </c>
    </row>
    <row r="13" spans="1:8" x14ac:dyDescent="0.25">
      <c r="B13" s="99">
        <v>5</v>
      </c>
      <c r="C13" s="99" t="s">
        <v>146</v>
      </c>
      <c r="D13" s="102">
        <v>18</v>
      </c>
      <c r="E13" s="103" t="str">
        <f t="shared" si="0"/>
        <v>Eligible</v>
      </c>
      <c r="F13" s="103" t="str">
        <f t="shared" si="1"/>
        <v>Adult</v>
      </c>
    </row>
    <row r="14" spans="1:8" x14ac:dyDescent="0.25">
      <c r="B14" s="99">
        <v>6</v>
      </c>
      <c r="C14" s="99" t="s">
        <v>147</v>
      </c>
      <c r="D14" s="102">
        <v>13</v>
      </c>
      <c r="E14" s="103" t="str">
        <f t="shared" si="0"/>
        <v>not elgible</v>
      </c>
      <c r="F14" s="103" t="str">
        <f t="shared" si="1"/>
        <v>Adult</v>
      </c>
    </row>
    <row r="15" spans="1:8" x14ac:dyDescent="0.25">
      <c r="B15" s="99">
        <v>7</v>
      </c>
      <c r="C15" s="99" t="s">
        <v>148</v>
      </c>
      <c r="D15" s="102">
        <v>18</v>
      </c>
      <c r="E15" s="103" t="str">
        <f t="shared" si="0"/>
        <v>Eligible</v>
      </c>
      <c r="F15" s="103" t="str">
        <f t="shared" si="1"/>
        <v>Adult</v>
      </c>
    </row>
    <row r="16" spans="1:8" x14ac:dyDescent="0.25">
      <c r="B16" s="99">
        <v>8</v>
      </c>
      <c r="C16" s="99" t="s">
        <v>149</v>
      </c>
      <c r="D16" s="102">
        <v>17</v>
      </c>
      <c r="E16" s="103" t="str">
        <f t="shared" si="0"/>
        <v>Eligible</v>
      </c>
      <c r="F16" s="103" t="str">
        <f t="shared" si="1"/>
        <v>Adult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I12" sqref="I12"/>
    </sheetView>
  </sheetViews>
  <sheetFormatPr defaultRowHeight="15" x14ac:dyDescent="0.25"/>
  <cols>
    <col min="5" max="5" width="11.5703125" customWidth="1"/>
  </cols>
  <sheetData>
    <row r="1" spans="1:5" x14ac:dyDescent="0.25">
      <c r="A1" s="105" t="s">
        <v>150</v>
      </c>
      <c r="B1" s="104"/>
      <c r="C1" s="104"/>
      <c r="D1" s="104"/>
    </row>
    <row r="3" spans="1:5" x14ac:dyDescent="0.25">
      <c r="B3" s="106"/>
      <c r="C3" s="107" t="s">
        <v>60</v>
      </c>
    </row>
    <row r="4" spans="1:5" x14ac:dyDescent="0.25">
      <c r="B4" s="108" t="s">
        <v>151</v>
      </c>
      <c r="C4" s="109">
        <v>1</v>
      </c>
    </row>
    <row r="5" spans="1:5" x14ac:dyDescent="0.25">
      <c r="B5" s="108" t="s">
        <v>152</v>
      </c>
      <c r="C5" s="109">
        <v>0.5</v>
      </c>
    </row>
    <row r="7" spans="1:5" x14ac:dyDescent="0.25">
      <c r="B7" s="111" t="s">
        <v>153</v>
      </c>
      <c r="C7" s="110"/>
      <c r="D7" s="110"/>
      <c r="E7" s="110"/>
    </row>
    <row r="8" spans="1:5" x14ac:dyDescent="0.25">
      <c r="B8" s="111" t="s">
        <v>154</v>
      </c>
      <c r="C8" s="110"/>
      <c r="D8" s="110"/>
      <c r="E8" s="110"/>
    </row>
    <row r="10" spans="1:5" x14ac:dyDescent="0.25">
      <c r="B10" s="112" t="s">
        <v>1</v>
      </c>
      <c r="C10" s="112" t="s">
        <v>155</v>
      </c>
      <c r="D10" s="112" t="s">
        <v>156</v>
      </c>
      <c r="E10" s="112" t="s">
        <v>157</v>
      </c>
    </row>
    <row r="11" spans="1:5" x14ac:dyDescent="0.25">
      <c r="B11" s="113" t="s">
        <v>158</v>
      </c>
      <c r="C11" s="113" t="s">
        <v>151</v>
      </c>
      <c r="D11" s="114">
        <v>46866</v>
      </c>
      <c r="E11" s="115" t="str">
        <f>IF(C11="A+","100%","50%")</f>
        <v>100%</v>
      </c>
    </row>
    <row r="12" spans="1:5" x14ac:dyDescent="0.25">
      <c r="B12" s="113" t="s">
        <v>159</v>
      </c>
      <c r="C12" s="113" t="s">
        <v>152</v>
      </c>
      <c r="D12" s="114">
        <v>33495</v>
      </c>
      <c r="E12" s="115" t="str">
        <f t="shared" ref="E12:E17" si="0">IF(C12="A+","100%","50%")</f>
        <v>50%</v>
      </c>
    </row>
    <row r="13" spans="1:5" x14ac:dyDescent="0.25">
      <c r="B13" s="113" t="s">
        <v>160</v>
      </c>
      <c r="C13" s="113" t="s">
        <v>152</v>
      </c>
      <c r="D13" s="114">
        <v>35087</v>
      </c>
      <c r="E13" s="115" t="str">
        <f t="shared" si="0"/>
        <v>50%</v>
      </c>
    </row>
    <row r="14" spans="1:5" x14ac:dyDescent="0.25">
      <c r="B14" s="113" t="s">
        <v>161</v>
      </c>
      <c r="C14" s="113" t="s">
        <v>151</v>
      </c>
      <c r="D14" s="114">
        <v>42603</v>
      </c>
      <c r="E14" s="115" t="str">
        <f t="shared" si="0"/>
        <v>100%</v>
      </c>
    </row>
    <row r="15" spans="1:5" x14ac:dyDescent="0.25">
      <c r="B15" s="113" t="s">
        <v>146</v>
      </c>
      <c r="C15" s="113" t="s">
        <v>152</v>
      </c>
      <c r="D15" s="114">
        <v>36971</v>
      </c>
      <c r="E15" s="115" t="str">
        <f t="shared" si="0"/>
        <v>50%</v>
      </c>
    </row>
    <row r="16" spans="1:5" x14ac:dyDescent="0.25">
      <c r="B16" s="113" t="s">
        <v>162</v>
      </c>
      <c r="C16" s="113" t="s">
        <v>151</v>
      </c>
      <c r="D16" s="114">
        <v>41286</v>
      </c>
      <c r="E16" s="115" t="str">
        <f t="shared" si="0"/>
        <v>100%</v>
      </c>
    </row>
    <row r="17" spans="2:5" x14ac:dyDescent="0.25">
      <c r="B17" s="113" t="s">
        <v>163</v>
      </c>
      <c r="C17" s="113" t="s">
        <v>152</v>
      </c>
      <c r="D17" s="114">
        <v>37732</v>
      </c>
      <c r="E17" s="115" t="str">
        <f t="shared" si="0"/>
        <v>50%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P17" sqref="P17"/>
    </sheetView>
  </sheetViews>
  <sheetFormatPr defaultRowHeight="15" x14ac:dyDescent="0.25"/>
  <cols>
    <col min="15" max="15" width="10.28515625" customWidth="1"/>
    <col min="16" max="16" width="22.28515625" customWidth="1"/>
  </cols>
  <sheetData>
    <row r="1" spans="1:16" x14ac:dyDescent="0.25">
      <c r="A1" s="118" t="s">
        <v>164</v>
      </c>
      <c r="B1" s="116"/>
      <c r="C1" s="116"/>
      <c r="D1" s="116"/>
      <c r="E1" s="116"/>
      <c r="F1" s="116"/>
      <c r="M1" s="122" t="s">
        <v>178</v>
      </c>
      <c r="N1" s="120"/>
      <c r="O1" s="120"/>
    </row>
    <row r="2" spans="1:16" x14ac:dyDescent="0.25">
      <c r="A2" s="117" t="s">
        <v>165</v>
      </c>
      <c r="B2" s="116"/>
      <c r="C2" s="116"/>
      <c r="D2" s="116"/>
      <c r="E2" s="116"/>
      <c r="F2" s="116"/>
      <c r="M2" s="121">
        <v>2</v>
      </c>
      <c r="N2" s="121" t="s">
        <v>179</v>
      </c>
      <c r="O2" s="121">
        <v>3</v>
      </c>
      <c r="P2" s="123">
        <f>M2+O2</f>
        <v>5</v>
      </c>
    </row>
    <row r="3" spans="1:16" x14ac:dyDescent="0.25">
      <c r="A3" s="119" t="s">
        <v>166</v>
      </c>
      <c r="B3" s="117" t="s">
        <v>167</v>
      </c>
      <c r="C3" s="116"/>
      <c r="D3" s="116"/>
      <c r="E3" s="116"/>
      <c r="F3" s="116"/>
      <c r="M3" s="121">
        <v>3</v>
      </c>
      <c r="N3" s="121" t="s">
        <v>180</v>
      </c>
      <c r="O3" s="121">
        <v>1</v>
      </c>
      <c r="P3" s="123">
        <f>M3-O3</f>
        <v>2</v>
      </c>
    </row>
    <row r="4" spans="1:16" x14ac:dyDescent="0.25">
      <c r="A4" s="117" t="s">
        <v>168</v>
      </c>
      <c r="B4" s="117" t="s">
        <v>169</v>
      </c>
      <c r="C4" s="116"/>
      <c r="D4" s="116"/>
      <c r="E4" s="116"/>
      <c r="F4" s="116"/>
      <c r="M4" s="121">
        <v>5</v>
      </c>
      <c r="N4" s="121" t="s">
        <v>181</v>
      </c>
      <c r="O4" s="121">
        <v>10</v>
      </c>
      <c r="P4" s="123">
        <f>M4*O4</f>
        <v>50</v>
      </c>
    </row>
    <row r="5" spans="1:16" x14ac:dyDescent="0.25">
      <c r="A5" s="119" t="s">
        <v>170</v>
      </c>
      <c r="B5" s="117" t="s">
        <v>171</v>
      </c>
      <c r="C5" s="116"/>
      <c r="D5" s="116"/>
      <c r="E5" s="116"/>
      <c r="F5" s="116"/>
      <c r="M5" s="121">
        <v>10</v>
      </c>
      <c r="N5" s="121" t="s">
        <v>182</v>
      </c>
      <c r="O5" s="121">
        <v>2</v>
      </c>
      <c r="P5" s="123">
        <f>M5/O5</f>
        <v>5</v>
      </c>
    </row>
    <row r="6" spans="1:16" x14ac:dyDescent="0.25">
      <c r="A6" s="117" t="s">
        <v>172</v>
      </c>
      <c r="B6" s="117" t="s">
        <v>173</v>
      </c>
      <c r="C6" s="116"/>
      <c r="D6" s="116"/>
      <c r="E6" s="116"/>
      <c r="F6" s="116"/>
    </row>
    <row r="7" spans="1:16" x14ac:dyDescent="0.25">
      <c r="A7" s="117" t="s">
        <v>174</v>
      </c>
      <c r="B7" s="117" t="s">
        <v>175</v>
      </c>
      <c r="C7" s="116"/>
      <c r="D7" s="116"/>
      <c r="E7" s="116"/>
      <c r="F7" s="116"/>
      <c r="M7" s="126" t="s">
        <v>183</v>
      </c>
      <c r="N7" s="124"/>
      <c r="O7" s="124"/>
      <c r="P7" s="128"/>
    </row>
    <row r="8" spans="1:16" x14ac:dyDescent="0.25">
      <c r="A8" s="117" t="s">
        <v>176</v>
      </c>
      <c r="B8" s="117" t="s">
        <v>177</v>
      </c>
      <c r="C8" s="116"/>
      <c r="D8" s="116"/>
      <c r="E8" s="116"/>
      <c r="F8" s="116"/>
      <c r="M8" s="127">
        <v>10</v>
      </c>
      <c r="N8" s="125" t="s">
        <v>184</v>
      </c>
      <c r="O8" s="125">
        <v>100</v>
      </c>
      <c r="P8" s="128">
        <f>M8/O8</f>
        <v>0.1</v>
      </c>
    </row>
    <row r="9" spans="1:16" x14ac:dyDescent="0.25">
      <c r="M9" s="127">
        <v>3</v>
      </c>
      <c r="N9" s="125" t="s">
        <v>184</v>
      </c>
      <c r="O9" s="125">
        <v>6</v>
      </c>
      <c r="P9" s="128">
        <f>M9/O9</f>
        <v>0.5</v>
      </c>
    </row>
    <row r="10" spans="1:16" x14ac:dyDescent="0.25">
      <c r="M10" s="127">
        <v>1.5</v>
      </c>
      <c r="N10" s="125" t="s">
        <v>184</v>
      </c>
      <c r="O10" s="125">
        <v>1</v>
      </c>
      <c r="P10" s="133">
        <f>M10/O10</f>
        <v>1.5</v>
      </c>
    </row>
    <row r="12" spans="1:16" x14ac:dyDescent="0.25">
      <c r="P12" s="129"/>
    </row>
    <row r="13" spans="1:16" x14ac:dyDescent="0.25">
      <c r="M13" s="131" t="s">
        <v>185</v>
      </c>
      <c r="N13" s="129"/>
      <c r="O13" s="129"/>
      <c r="P13" s="132" t="s">
        <v>189</v>
      </c>
    </row>
    <row r="14" spans="1:16" x14ac:dyDescent="0.25">
      <c r="M14" s="132" t="s">
        <v>186</v>
      </c>
      <c r="N14" s="132" t="s">
        <v>187</v>
      </c>
      <c r="O14" s="132" t="s">
        <v>188</v>
      </c>
    </row>
    <row r="15" spans="1:16" x14ac:dyDescent="0.25">
      <c r="M15" s="130" t="s">
        <v>190</v>
      </c>
      <c r="N15" s="130">
        <v>100</v>
      </c>
      <c r="O15" s="130">
        <v>150</v>
      </c>
      <c r="P15" s="133">
        <f>(N15-O15)/O15</f>
        <v>-0.33333333333333331</v>
      </c>
    </row>
    <row r="16" spans="1:16" x14ac:dyDescent="0.25">
      <c r="M16" s="130" t="s">
        <v>191</v>
      </c>
      <c r="N16" s="130">
        <v>100</v>
      </c>
      <c r="O16" s="130">
        <v>50</v>
      </c>
      <c r="P16" s="133">
        <f>(N16-O16)/O16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AVG_1</vt:lpstr>
      <vt:lpstr>AVG_3</vt:lpstr>
      <vt:lpstr>COUNT1</vt:lpstr>
      <vt:lpstr>Count2</vt:lpstr>
      <vt:lpstr>Count3</vt:lpstr>
      <vt:lpstr>HLOOKUP</vt:lpstr>
      <vt:lpstr>IF1</vt:lpstr>
      <vt:lpstr>IF2</vt:lpstr>
      <vt:lpstr>IF3</vt:lpstr>
      <vt:lpstr>IF4</vt:lpstr>
      <vt:lpstr>Math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2026-03-28T16:32:10Z</dcterms:created>
  <dcterms:modified xsi:type="dcterms:W3CDTF">2026-03-29T06:51:31Z</dcterms:modified>
</cp:coreProperties>
</file>